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Resumen" sheetId="2" state="visible" r:id="rId4"/>
    <sheet name="Productos" sheetId="3" state="visible" r:id="rId5"/>
    <sheet name="Inventario" sheetId="4" state="visible" r:id="rId6"/>
    <sheet name="Ventas" sheetId="5" state="visible" r:id="rId7"/>
    <sheet name="Compras" sheetId="6" state="visible" r:id="rId8"/>
    <sheet name="Confi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<sst xmlns="http://schemas.openxmlformats.org/spreadsheetml/2006/main" count="222" uniqueCount="137">
  <si>
    <t xml:space="preserve">Gestión de tienda – Guía rápida</t>
  </si>
  <si>
    <t xml:space="preserve">CÓMO USAR ESTE LIBRO</t>
  </si>
  <si>
    <t xml:space="preserve">1. Config: pon el nombre de tu tienda, el año y ajusta categorías y métodos de pago.</t>
  </si>
  <si>
    <t xml:space="preserve">2. Productos: registra cada producto UNA vez (nombre y código únicos, categoría, costo, precio, cantidad inicial y mínima en el almacén).</t>
  </si>
  <si>
    <t xml:space="preserve">3. Compras: elige el Producto en la lista, escribe Fecha y Cantidad. El código, proveedor y costo se completan solos.</t>
  </si>
  <si>
    <t xml:space="preserve">4. Ventas: elige el Producto en la lista, escribe Fecha, N° venta, Cantidad, Descuento y Método de pago. El código, categoría y precio se completan solos.</t>
  </si>
  <si>
    <t xml:space="preserve">   Si una venta tiene varios productos, usa el mismo N° de venta en varias filas.</t>
  </si>
  <si>
    <t xml:space="preserve">5. Inventario: se calcula solo. Marca REPONER cuando la cantidad llega al mínimo y AGOTADO cuando se acaba.</t>
  </si>
  <si>
    <t xml:space="preserve">6. Resumen: totales, ganancia, valor del inventario, resultados por categoría y evolución mensual (con gráficos).</t>
  </si>
  <si>
    <t xml:space="preserve">CÓDIGO DE COLORES</t>
  </si>
  <si>
    <t xml:space="preserve">Texto azul = celdas que tú rellenas.   Texto negro = fórmulas (no tocar).   Fila azul claro = totales (arriba de cada tabla).</t>
  </si>
  <si>
    <t xml:space="preserve">NOTAS</t>
  </si>
  <si>
    <t xml:space="preserve">• Los datos de ejemplo (12 productos, 8 compras, 16 ventas) son ficticios: bórralos y escribe los tuyos.</t>
  </si>
  <si>
    <t xml:space="preserve">• Capacidad: 100 productos, 300 compras y 500 ventas. Para ampliar, copia hacia abajo la última fila de fórmulas.</t>
  </si>
  <si>
    <t xml:space="preserve">• Cada producto debe tener un nombre distinto: el libro lo usa para encontrar su código, precio y costo.</t>
  </si>
  <si>
    <t xml:space="preserve">• No borres las celdas con fórmulas. Solo borra las celdas azules de los ejemplos.</t>
  </si>
  <si>
    <t xml:space="preserve">• Costo y precio se toman del catálogo (Productos). Si cambias un precio, afecta a todas las filas.</t>
  </si>
  <si>
    <t xml:space="preserve">• Las cifras no llevan símbolo de moneda; usa la de tu país.</t>
  </si>
  <si>
    <t xml:space="preserve">INDICADORES CLAVE</t>
  </si>
  <si>
    <t xml:space="preserve">VENTAS POR MÉTODO DE PAGO</t>
  </si>
  <si>
    <t xml:space="preserve">Ventas totales</t>
  </si>
  <si>
    <t xml:space="preserve">Método</t>
  </si>
  <si>
    <t xml:space="preserve">N° ventas</t>
  </si>
  <si>
    <t xml:space="preserve">Total</t>
  </si>
  <si>
    <t xml:space="preserve">Compras totales</t>
  </si>
  <si>
    <t xml:space="preserve">Costo de lo vendido</t>
  </si>
  <si>
    <t xml:space="preserve">Ganancia bruta</t>
  </si>
  <si>
    <t xml:space="preserve">Margen bruto %</t>
  </si>
  <si>
    <t xml:space="preserve">Valor del inventario (a costo)</t>
  </si>
  <si>
    <t xml:space="preserve">Valor del inventario (a precio de venta)</t>
  </si>
  <si>
    <t xml:space="preserve">Unidades vendidas</t>
  </si>
  <si>
    <t xml:space="preserve">Productos en catálogo</t>
  </si>
  <si>
    <t xml:space="preserve">Productos a reponer / agotados</t>
  </si>
  <si>
    <t xml:space="preserve">RESULTADOS POR CATEGORÍA</t>
  </si>
  <si>
    <t xml:space="preserve">Categoría</t>
  </si>
  <si>
    <t xml:space="preserve">Ventas</t>
  </si>
  <si>
    <t xml:space="preserve">Valor inventario (costo)</t>
  </si>
  <si>
    <t xml:space="preserve">EVOLUCIÓN MENSUAL</t>
  </si>
  <si>
    <t xml:space="preserve">Mes</t>
  </si>
  <si>
    <t xml:space="preserve">Compras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</si>
  <si>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</si>
  <si>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</si>
  <si>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</si>
  <si>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</si>
  <si>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</si>
  <si>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</si>
  <si>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</si>
  <si>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</si>
  <si>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</si>
  <si>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</si>
  <si>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</si>
  <si>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</si>
  <si>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</si>
  <si>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Catálogo de productos</t>
  </si>
  <si>
    <t xml:space="preserve">Registra cada producto una sola vez (nombre y código únicos). Los demás libros leen estos datos.</t>
  </si>
  <si>
    <t xml:space="preserve">Código</t>
  </si>
  <si>
    <t xml:space="preserve">Producto</t>
  </si>
  <si>
    <t xml:space="preserve">Proveedor</t>
  </si>
  <si>
    <t xml:space="preserve">Cantidad inicial en el almacén</t>
  </si>
  <si>
    <t xml:space="preserve">Costo unitario</t>
  </si>
  <si>
    <t xml:space="preserve">Precio de venta</t>
  </si>
  <si>
    <t xml:space="preserve">Margen unitario</t>
  </si>
  <si>
    <t xml:space="preserve">Margen %</t>
  </si>
  <si>
    <t xml:space="preserve">Cantidad mínima en el almacén</t>
  </si>
  <si>
    <t xml:space="preserve">P001</t>
  </si>
  <si>
    <t xml:space="preserve">Arroz 1 kg</t>
  </si>
  <si>
    <t xml:space="preserve">Alimentos</t>
  </si>
  <si>
    <t xml:space="preserve">Distribuidora Norte</t>
  </si>
  <si>
    <t xml:space="preserve">P002</t>
  </si>
  <si>
    <t xml:space="preserve">Aceite de oliva 1 L</t>
  </si>
  <si>
    <t xml:space="preserve">P003</t>
  </si>
  <si>
    <t xml:space="preserve">Leche entera 1 L</t>
  </si>
  <si>
    <t xml:space="preserve">Lácteos</t>
  </si>
  <si>
    <t xml:space="preserve">Lácteos del Sur</t>
  </si>
  <si>
    <t xml:space="preserve">P004</t>
  </si>
  <si>
    <t xml:space="preserve">Yogur natural (pack 4)</t>
  </si>
  <si>
    <t xml:space="preserve">P005</t>
  </si>
  <si>
    <t xml:space="preserve">Refresco cola 2 L</t>
  </si>
  <si>
    <t xml:space="preserve">Bebidas</t>
  </si>
  <si>
    <t xml:space="preserve">Bebidas Central</t>
  </si>
  <si>
    <t xml:space="preserve">P006</t>
  </si>
  <si>
    <t xml:space="preserve">Agua mineral 1,5 L</t>
  </si>
  <si>
    <t xml:space="preserve">P007</t>
  </si>
  <si>
    <t xml:space="preserve">Detergente 3 L</t>
  </si>
  <si>
    <t xml:space="preserve">Limpieza</t>
  </si>
  <si>
    <t xml:space="preserve">Hogar Plus</t>
  </si>
  <si>
    <t xml:space="preserve">P008</t>
  </si>
  <si>
    <t xml:space="preserve">Papel higiénico (12 rollos)</t>
  </si>
  <si>
    <t xml:space="preserve">P009</t>
  </si>
  <si>
    <t xml:space="preserve">Galletas surtidas</t>
  </si>
  <si>
    <t xml:space="preserve">Snacks</t>
  </si>
  <si>
    <t xml:space="preserve">Dulces SA</t>
  </si>
  <si>
    <t xml:space="preserve">P010</t>
  </si>
  <si>
    <t xml:space="preserve">Patatas fritas 150 g</t>
  </si>
  <si>
    <t xml:space="preserve">P011</t>
  </si>
  <si>
    <t xml:space="preserve">Cuaderno A4</t>
  </si>
  <si>
    <t xml:space="preserve">Papelería</t>
  </si>
  <si>
    <t xml:space="preserve">Papelería Express</t>
  </si>
  <si>
    <t xml:space="preserve">P012</t>
  </si>
  <si>
    <t xml:space="preserve">Bolígrafos (pack 10)</t>
  </si>
  <si>
    <t xml:space="preserve">Inventario</t>
  </si>
  <si>
    <t xml:space="preserve">Todo se calcula solo: Cantidad actual en el almacén = Cantidad inicial + Entradas (Compras) − Salidas (Ventas).</t>
  </si>
  <si>
    <t xml:space="preserve">TOTALES</t>
  </si>
  <si>
    <t xml:space="preserve">Entradas</t>
  </si>
  <si>
    <t xml:space="preserve">Salidas</t>
  </si>
  <si>
    <t xml:space="preserve">Cantidad actual en el almacén</t>
  </si>
  <si>
    <t xml:space="preserve">Estado</t>
  </si>
  <si>
    <t xml:space="preserve">Valor inventario (venta)</t>
  </si>
  <si>
    <t xml:space="preserve">Ventas / Salidas</t>
  </si>
  <si>
    <t xml:space="preserve">Elige el Producto en la lista y escribe Fecha, N° de venta, Cantidad, Descuento y Método de pago (azul); el resto se completa solo.</t>
  </si>
  <si>
    <t xml:space="preserve">Fecha</t>
  </si>
  <si>
    <t xml:space="preserve">N° venta</t>
  </si>
  <si>
    <t xml:space="preserve">Cantidad</t>
  </si>
  <si>
    <t xml:space="preserve">Precio unitario</t>
  </si>
  <si>
    <t xml:space="preserve">Descuento %</t>
  </si>
  <si>
    <t xml:space="preserve">Total venta</t>
  </si>
  <si>
    <t xml:space="preserve">Método de pago</t>
  </si>
  <si>
    <t xml:space="preserve">Cliente (opcional)</t>
  </si>
  <si>
    <t xml:space="preserve">Costo</t>
  </si>
  <si>
    <t xml:space="preserve">Ganancia</t>
  </si>
  <si>
    <t xml:space="preserve">Efectivo</t>
  </si>
  <si>
    <t xml:space="preserve">Transferencia</t>
  </si>
  <si>
    <t xml:space="preserve">María López</t>
  </si>
  <si>
    <t xml:space="preserve">Bar El Sol</t>
  </si>
  <si>
    <t xml:space="preserve">Colegio San Juan</t>
  </si>
  <si>
    <t xml:space="preserve">Compras / Entradas de mercancía</t>
  </si>
  <si>
    <t xml:space="preserve">Elige el Producto en la lista y escribe Fecha y Cantidad (azul); el código, proveedor, costo y total se completan solos.</t>
  </si>
  <si>
    <t xml:space="preserve">Total compra</t>
  </si>
  <si>
    <t xml:space="preserve">Configuración</t>
  </si>
  <si>
    <t xml:space="preserve">Celdas en azul = editables. Todo el libro usa estos valores.</t>
  </si>
  <si>
    <t xml:space="preserve">Nombre de la tienda</t>
  </si>
  <si>
    <t xml:space="preserve">Mi Tienda</t>
  </si>
  <si>
    <t xml:space="preserve">Categorías</t>
  </si>
  <si>
    <t xml:space="preserve">Métodos de pago</t>
  </si>
  <si>
    <t xml:space="preserve">Año de análisis</t>
  </si>
  <si>
    <t xml:space="preserve">Higiene personal</t>
  </si>
  <si>
    <t xml:space="preserve">Otros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</si>
</sst>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;\(#,##0\);\-"/>
    <numFmt numFmtId="167" formatCode="0.0%;\(0.0%\);\-"/>
    <numFmt numFmtId="168" formatCode="dd/mm/yyyy"/>
    <numFmt numFmtId="169" formatCode="0%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2F559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vs Compras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Resumen!B31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Resumen!$A$32:$A$43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Resumen!$B$32:$B$43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119.51</c:v>
                </c:pt>
                <c:pt idx="9">
                  <c:v>165.55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Resumen!C31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Resumen!$A$32:$A$43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Resumen!$C$32:$C$43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197.4</c:v>
                </c:pt>
                <c:pt idx="9">
                  <c:v>136.5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1030703"/>
        <c:axId val="48310157"/>
      </c:barChart>
      <c:catAx>
        <c:axId val="810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10157"/>
        <c:crosses val="autoZero"/>
        <c:auto val="1"/>
        <c:lblAlgn val="ctr"/>
        <c:lblOffset val="100"/>
        <c:noMultiLvlLbl val="0"/>
      </c:catAx>
      <c:valAx>
        <c:axId val="48310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30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Resumen!C18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Resumen!$A$19:$A$26</c:f>
              <c:strCache>
                <c:ptCount val="8"/>
                <c:pt idx="0">
                  <c:v>Alimentos</c:v>
                </c:pt>
                <c:pt idx="1">
                  <c:v>Lácteos</c:v>
                </c:pt>
                <c:pt idx="2">
                  <c:v>Bebidas</c:v>
                </c:pt>
                <c:pt idx="3">
                  <c:v>Limpieza</c:v>
                </c:pt>
                <c:pt idx="4">
                  <c:v>Snacks</c:v>
                </c:pt>
                <c:pt idx="5">
                  <c:v>Papelería</c:v>
                </c:pt>
                <c:pt idx="6">
                  <c:v>Higiene personal</c:v>
                </c:pt>
                <c:pt idx="7">
                  <c:v>Otros</c:v>
                </c:pt>
              </c:strCache>
            </c:strRef>
          </c:cat>
          <c:val>
            <c:numRef>
              <c:f>Resumen!$C$19:$C$26</c:f>
              <c:numCache>
                <c:formatCode>#,##0.00;\(#,##0.00\);\-</c:formatCode>
                <c:ptCount val="8"/>
                <c:pt idx="0">
                  <c:v>54</c:v>
                </c:pt>
                <c:pt idx="1">
                  <c:v>47.35</c:v>
                </c:pt>
                <c:pt idx="2">
                  <c:v>35.41</c:v>
                </c:pt>
                <c:pt idx="3">
                  <c:v>67.7</c:v>
                </c:pt>
                <c:pt idx="4">
                  <c:v>31.2</c:v>
                </c:pt>
                <c:pt idx="5">
                  <c:v>49.4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17870438"/>
        <c:axId val="33644185"/>
      </c:barChart>
      <c:catAx>
        <c:axId val="17870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44185"/>
        <c:crosses val="autoZero"/>
        <c:auto val="1"/>
        <c:lblAlgn val="ctr"/>
        <c:lblOffset val="100"/>
        <c:noMultiLvlLbl val="0"/>
      </c:catAx>
      <c:valAx>
        <c:axId val="33644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0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28</xdr:row>
      <xdr:rowOff>100800</xdr:rowOff>
    </xdr:from>
    <xdr:to>
      <xdr:col>15</xdr:col>
      <xdr:colOff>256320</xdr:colOff>
      <xdr:row>43</xdr:row>
      <xdr:rowOff>123120</xdr:rowOff>
    </xdr:to>
    <xdr:graphicFrame>
      <xdr:nvGraphicFramePr>
        <xdr:cNvPr id="0" name="Chart 1"/>
        <xdr:cNvGraphicFramePr/>
      </xdr:nvGraphicFramePr>
      <xdr:xfrm>
        <a:off x="8599320" y="571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101160</xdr:rowOff>
    </xdr:from>
    <xdr:to>
      <xdr:col>16</xdr:col>
      <xdr:colOff>255960</xdr:colOff>
      <xdr:row>17</xdr:row>
      <xdr:rowOff>123120</xdr:rowOff>
    </xdr:to>
    <xdr:graphicFrame>
      <xdr:nvGraphicFramePr>
        <xdr:cNvPr id="1" name="Chart 2"/>
        <xdr:cNvGraphicFramePr/>
      </xdr:nvGraphicFramePr>
      <xdr:xfrm>
        <a:off x="92106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6" min="5" style="0" width="16"/>
  </cols>
  <sheetData>
    <row r="1" customFormat="false" ht="22.05" hidden="false" customHeight="false" outlineLevel="0" collapsed="false">
      <c r="A1" s="4" t="str">
        <f aca="false">Config!B3&amp;" – Panel de resumen"</f>
        <v>Mi Tienda – Panel de resumen</v>
      </c>
    </row>
    <row r="2" customFormat="false" ht="15" hidden="false" customHeight="false" outlineLevel="0" collapsed="false">
      <c r="A2" s="5" t="str">
        <f aca="false">"Año de análisis: "&amp;Config!B4&amp;"  |  Todo se calcula automáticamente desde Ventas, Compras e Inventario"</f>
        <v>Año de análisis: 2026  |  Todo se calcula automáticamente desde Ventas, Compras e Inventario</v>
      </c>
    </row>
    <row r="4" customFormat="false" ht="15" hidden="false" customHeight="false" outlineLevel="0" collapsed="false">
      <c r="A4" s="6" t="s">
        <v>18</v>
      </c>
      <c r="B4" s="6"/>
      <c r="D4" s="6" t="s">
        <v>19</v>
      </c>
      <c r="E4" s="6"/>
      <c r="F4" s="6"/>
    </row>
    <row r="5" customFormat="false" ht="15" hidden="false" customHeight="false" outlineLevel="0" collapsed="false">
      <c r="A5" s="7" t="s">
        <v>20</v>
      </c>
      <c r="B5" s="8" t="n">
        <f aca="false">Ventas!I3</f>
        <v>285.06</v>
      </c>
      <c r="D5" s="9" t="s">
        <v>21</v>
      </c>
      <c r="E5" s="9" t="s">
        <v>22</v>
      </c>
      <c r="F5" s="9" t="s">
        <v>23</v>
      </c>
    </row>
    <row r="6" customFormat="false" ht="15" hidden="false" customHeight="false" outlineLevel="0" collapsed="false">
      <c r="A6" s="7" t="s">
        <v>24</v>
      </c>
      <c r="B6" s="8" t="n">
        <f aca="false">Compras!G3</f>
        <v>333.9</v>
      </c>
      <c r="D6" s="7" t="str">
        <f aca="false">Config!F4</f>
        <v>Efectivo</v>
      </c>
      <c r="E6" s="10" t="n">
        <f aca="false">COUNTIF(Ventas!$J$5:$J$504,D6)</f>
        <v>9</v>
      </c>
      <c r="F6" s="11" t="n">
        <f aca="false">SUMIFS(Ventas!$I$5:$I$504,Ventas!$J$5:$J$504,D6)</f>
        <v>152.8</v>
      </c>
    </row>
    <row r="7" customFormat="false" ht="15" hidden="false" customHeight="false" outlineLevel="0" collapsed="false">
      <c r="A7" s="7" t="s">
        <v>25</v>
      </c>
      <c r="B7" s="8" t="n">
        <f aca="false">Ventas!L3</f>
        <v>166.95</v>
      </c>
      <c r="D7" s="7" t="str">
        <f aca="false">Config!F5</f>
        <v>Transferencia</v>
      </c>
      <c r="E7" s="10" t="n">
        <f aca="false">COUNTIF(Ventas!$J$5:$J$504,D7)</f>
        <v>7</v>
      </c>
      <c r="F7" s="11" t="n">
        <f aca="false">SUMIFS(Ventas!$I$5:$I$504,Ventas!$J$5:$J$504,D7)</f>
        <v>132.26</v>
      </c>
    </row>
    <row r="8" customFormat="false" ht="15" hidden="false" customHeight="false" outlineLevel="0" collapsed="false">
      <c r="A8" s="7" t="s">
        <v>26</v>
      </c>
      <c r="B8" s="12" t="n">
        <f aca="false">Ventas!M3</f>
        <v>118.11</v>
      </c>
      <c r="D8" s="9" t="s">
        <v>23</v>
      </c>
      <c r="E8" s="13" t="n">
        <f aca="false">SUM(E6:E7)</f>
        <v>16</v>
      </c>
      <c r="F8" s="14" t="n">
        <f aca="false">SUM(F6:F7)</f>
        <v>285.06</v>
      </c>
    </row>
    <row r="9" customFormat="false" ht="15" hidden="false" customHeight="false" outlineLevel="0" collapsed="false">
      <c r="A9" s="7" t="s">
        <v>27</v>
      </c>
      <c r="B9" s="15" t="n">
        <f aca="false">IF(B5=0,0,B8/B5)</f>
        <v>0.414333824458009</v>
      </c>
    </row>
    <row r="10" customFormat="false" ht="15" hidden="false" customHeight="false" outlineLevel="0" collapsed="false">
      <c r="A10" s="7" t="s">
        <v>28</v>
      </c>
      <c r="B10" s="8" t="n">
        <f aca="false">Inventario!K3</f>
        <v>814.15</v>
      </c>
    </row>
    <row r="11" customFormat="false" ht="15" hidden="false" customHeight="false" outlineLevel="0" collapsed="false">
      <c r="A11" s="7" t="s">
        <v>29</v>
      </c>
      <c r="B11" s="8" t="n">
        <f aca="false">Inventario!L3</f>
        <v>1377.9</v>
      </c>
    </row>
    <row r="12" customFormat="false" ht="15" hidden="false" customHeight="false" outlineLevel="0" collapsed="false">
      <c r="A12" s="7" t="s">
        <v>30</v>
      </c>
      <c r="B12" s="16" t="n">
        <f aca="false">Ventas!F3</f>
        <v>124</v>
      </c>
    </row>
    <row r="13" customFormat="false" ht="15" hidden="false" customHeight="false" outlineLevel="0" collapsed="false">
      <c r="A13" s="7" t="s">
        <v>31</v>
      </c>
      <c r="B13" s="16" t="n">
        <f aca="false">COUNTIF(Productos!B5:B104,"?*")</f>
        <v>12</v>
      </c>
    </row>
    <row r="14" customFormat="false" ht="15" hidden="false" customHeight="false" outlineLevel="0" collapsed="false">
      <c r="A14" s="7" t="s">
        <v>32</v>
      </c>
      <c r="B14" s="16" t="n">
        <f aca="false">COUNTIF(Inventario!I5:I104,"REPONER")+COUNTIF(Inventario!I5:I104,"AGOTADO")</f>
        <v>1</v>
      </c>
    </row>
    <row r="17" customFormat="false" ht="15" hidden="false" customHeight="false" outlineLevel="0" collapsed="false">
      <c r="A17" s="6" t="s">
        <v>33</v>
      </c>
      <c r="B17" s="6"/>
      <c r="C17" s="6"/>
      <c r="D17" s="6"/>
      <c r="E17" s="6"/>
    </row>
    <row r="18" customFormat="false" ht="30" hidden="false" customHeight="true" outlineLevel="0" collapsed="false">
      <c r="A18" s="17" t="s">
        <v>34</v>
      </c>
      <c r="B18" s="17" t="s">
        <v>30</v>
      </c>
      <c r="C18" s="17" t="s">
        <v>35</v>
      </c>
      <c r="D18" s="17" t="s">
        <v>26</v>
      </c>
      <c r="E18" s="17" t="s">
        <v>36</v>
      </c>
    </row>
    <row r="19" customFormat="false" ht="15" hidden="false" customHeight="false" outlineLevel="0" collapsed="false">
      <c r="A19" s="7" t="str">
        <f aca="false">Config!D4</f>
        <v>Alimentos</v>
      </c>
      <c r="B19" s="10" t="n">
        <f aca="false">SUMIFS(Ventas!$F$5:$F$504,Ventas!$E$5:$E$504,A19)</f>
        <v>18</v>
      </c>
      <c r="C19" s="11" t="n">
        <f aca="false">SUMIFS(Ventas!$I$5:$I$504,Ventas!$E$5:$E$504,A19)</f>
        <v>54</v>
      </c>
      <c r="D19" s="11" t="n">
        <f aca="false">SUMIFS(Ventas!$M$5:$M$504,Ventas!$E$5:$E$504,A19)</f>
        <v>19.8</v>
      </c>
      <c r="E19" s="11" t="n">
        <f aca="false">SUMIFS(Inventario!$K$5:$K$104,Inventario!$C$5:$C$104,A19)</f>
        <v>271.8</v>
      </c>
    </row>
    <row r="20" customFormat="false" ht="15" hidden="false" customHeight="false" outlineLevel="0" collapsed="false">
      <c r="A20" s="7" t="str">
        <f aca="false">Config!D5</f>
        <v>Lácteos</v>
      </c>
      <c r="B20" s="10" t="n">
        <f aca="false">SUMIFS(Ventas!$F$5:$F$504,Ventas!$E$5:$E$504,A20)</f>
        <v>39</v>
      </c>
      <c r="C20" s="11" t="n">
        <f aca="false">SUMIFS(Ventas!$I$5:$I$504,Ventas!$E$5:$E$504,A20)</f>
        <v>47.35</v>
      </c>
      <c r="D20" s="11" t="n">
        <f aca="false">SUMIFS(Ventas!$M$5:$M$504,Ventas!$E$5:$E$504,A20)</f>
        <v>18.4</v>
      </c>
      <c r="E20" s="11" t="n">
        <f aca="false">SUMIFS(Inventario!$K$5:$K$104,Inventario!$C$5:$C$104,A20)</f>
        <v>93.05</v>
      </c>
    </row>
    <row r="21" customFormat="false" ht="15" hidden="false" customHeight="false" outlineLevel="0" collapsed="false">
      <c r="A21" s="7" t="str">
        <f aca="false">Config!D6</f>
        <v>Bebidas</v>
      </c>
      <c r="B21" s="10" t="n">
        <f aca="false">SUMIFS(Ventas!$F$5:$F$504,Ventas!$E$5:$E$504,A21)</f>
        <v>28</v>
      </c>
      <c r="C21" s="11" t="n">
        <f aca="false">SUMIFS(Ventas!$I$5:$I$504,Ventas!$E$5:$E$504,A21)</f>
        <v>35.41</v>
      </c>
      <c r="D21" s="11" t="n">
        <f aca="false">SUMIFS(Ventas!$M$5:$M$504,Ventas!$E$5:$E$504,A21)</f>
        <v>15.81</v>
      </c>
      <c r="E21" s="11" t="n">
        <f aca="false">SUMIFS(Inventario!$K$5:$K$104,Inventario!$C$5:$C$104,A21)</f>
        <v>97.4</v>
      </c>
    </row>
    <row r="22" customFormat="false" ht="15" hidden="false" customHeight="false" outlineLevel="0" collapsed="false">
      <c r="A22" s="7" t="str">
        <f aca="false">Config!D7</f>
        <v>Limpieza</v>
      </c>
      <c r="B22" s="10" t="n">
        <f aca="false">SUMIFS(Ventas!$F$5:$F$504,Ventas!$E$5:$E$504,A22)</f>
        <v>10</v>
      </c>
      <c r="C22" s="11" t="n">
        <f aca="false">SUMIFS(Ventas!$I$5:$I$504,Ventas!$E$5:$E$504,A22)</f>
        <v>67.7</v>
      </c>
      <c r="D22" s="11" t="n">
        <f aca="false">SUMIFS(Ventas!$M$5:$M$504,Ventas!$E$5:$E$504,A22)</f>
        <v>24.7</v>
      </c>
      <c r="E22" s="11" t="n">
        <f aca="false">SUMIFS(Inventario!$K$5:$K$104,Inventario!$C$5:$C$104,A22)</f>
        <v>208.4</v>
      </c>
    </row>
    <row r="23" customFormat="false" ht="15" hidden="false" customHeight="false" outlineLevel="0" collapsed="false">
      <c r="A23" s="7" t="str">
        <f aca="false">Config!D8</f>
        <v>Snacks</v>
      </c>
      <c r="B23" s="10" t="n">
        <f aca="false">SUMIFS(Ventas!$F$5:$F$504,Ventas!$E$5:$E$504,A23)</f>
        <v>16</v>
      </c>
      <c r="C23" s="11" t="n">
        <f aca="false">SUMIFS(Ventas!$I$5:$I$504,Ventas!$E$5:$E$504,A23)</f>
        <v>31.2</v>
      </c>
      <c r="D23" s="11" t="n">
        <f aca="false">SUMIFS(Ventas!$M$5:$M$504,Ventas!$E$5:$E$504,A23)</f>
        <v>14.5</v>
      </c>
      <c r="E23" s="11" t="n">
        <f aca="false">SUMIFS(Inventario!$K$5:$K$104,Inventario!$C$5:$C$104,A23)</f>
        <v>121.8</v>
      </c>
    </row>
    <row r="24" customFormat="false" ht="15" hidden="false" customHeight="false" outlineLevel="0" collapsed="false">
      <c r="A24" s="7" t="str">
        <f aca="false">Config!D9</f>
        <v>Papelería</v>
      </c>
      <c r="B24" s="10" t="n">
        <f aca="false">SUMIFS(Ventas!$F$5:$F$504,Ventas!$E$5:$E$504,A24)</f>
        <v>13</v>
      </c>
      <c r="C24" s="11" t="n">
        <f aca="false">SUMIFS(Ventas!$I$5:$I$504,Ventas!$E$5:$E$504,A24)</f>
        <v>49.4</v>
      </c>
      <c r="D24" s="11" t="n">
        <f aca="false">SUMIFS(Ventas!$M$5:$M$504,Ventas!$E$5:$E$504,A24)</f>
        <v>24.9</v>
      </c>
      <c r="E24" s="11" t="n">
        <f aca="false">SUMIFS(Inventario!$K$5:$K$104,Inventario!$C$5:$C$104,A24)</f>
        <v>21.7</v>
      </c>
    </row>
    <row r="25" customFormat="false" ht="15" hidden="false" customHeight="false" outlineLevel="0" collapsed="false">
      <c r="A25" s="7" t="str">
        <f aca="false">Config!D10</f>
        <v>Higiene personal</v>
      </c>
      <c r="B25" s="10" t="n">
        <f aca="false">SUMIFS(Ventas!$F$5:$F$504,Ventas!$E$5:$E$504,A25)</f>
        <v>0</v>
      </c>
      <c r="C25" s="11" t="n">
        <f aca="false">SUMIFS(Ventas!$I$5:$I$504,Ventas!$E$5:$E$504,A25)</f>
        <v>0</v>
      </c>
      <c r="D25" s="11" t="n">
        <f aca="false">SUMIFS(Ventas!$M$5:$M$504,Ventas!$E$5:$E$504,A25)</f>
        <v>0</v>
      </c>
      <c r="E25" s="11" t="n">
        <f aca="false">SUMIFS(Inventario!$K$5:$K$104,Inventario!$C$5:$C$104,A25)</f>
        <v>0</v>
      </c>
    </row>
    <row r="26" customFormat="false" ht="15" hidden="false" customHeight="false" outlineLevel="0" collapsed="false">
      <c r="A26" s="7" t="str">
        <f aca="false">Config!D11</f>
        <v>Otros</v>
      </c>
      <c r="B26" s="10" t="n">
        <f aca="false">SUMIFS(Ventas!$F$5:$F$504,Ventas!$E$5:$E$504,A26)</f>
        <v>0</v>
      </c>
      <c r="C26" s="11" t="n">
        <f aca="false">SUMIFS(Ventas!$I$5:$I$504,Ventas!$E$5:$E$504,A26)</f>
        <v>0</v>
      </c>
      <c r="D26" s="11" t="n">
        <f aca="false">SUMIFS(Ventas!$M$5:$M$504,Ventas!$E$5:$E$504,A26)</f>
        <v>0</v>
      </c>
      <c r="E26" s="11" t="n">
        <f aca="false">SUMIFS(Inventario!$K$5:$K$104,Inventario!$C$5:$C$104,A26)</f>
        <v>0</v>
      </c>
    </row>
    <row r="27" customFormat="false" ht="15" hidden="false" customHeight="false" outlineLevel="0" collapsed="false">
      <c r="A27" s="9" t="s">
        <v>23</v>
      </c>
      <c r="B27" s="13" t="n">
        <f aca="false">SUM(B19:B26)</f>
        <v>124</v>
      </c>
      <c r="C27" s="14" t="n">
        <f aca="false">SUM(C19:C26)</f>
        <v>285.06</v>
      </c>
      <c r="D27" s="14" t="n">
        <f aca="false">SUM(D19:D26)</f>
        <v>118.11</v>
      </c>
      <c r="E27" s="14" t="n">
        <f aca="false">SUM(E19:E26)</f>
        <v>814.15</v>
      </c>
    </row>
    <row r="30" customFormat="false" ht="15" hidden="false" customHeight="false" outlineLevel="0" collapsed="false">
      <c r="A30" s="6" t="s">
        <v>37</v>
      </c>
      <c r="B30" s="6"/>
      <c r="C30" s="6"/>
      <c r="D30" s="6"/>
    </row>
    <row r="31" customFormat="false" ht="15" hidden="false" customHeight="false" outlineLevel="0" collapsed="false">
      <c r="A31" s="18" t="s">
        <v>38</v>
      </c>
      <c r="B31" s="18" t="s">
        <v>35</v>
      </c>
      <c r="C31" s="18" t="s">
        <v>39</v>
      </c>
      <c r="D31" s="18" t="s">
        <v>26</v>
      </c>
    </row>
    <row r="32" customFormat="false" ht="15" hidden="false" customHeight="false" outlineLevel="0" collapsed="false">
      <c r="A32" s="7" t="s">
        <v>40</v>
      </c>
      <c r="B32" s="11" t="n">
        <f aca="false">SUMIFS(Ventas!$I$5:$I$504,Ventas!$A$5:$A$504,"&gt;="&amp;DATE(Config!$B$4,1,1),Ventas!$A$5:$A$504,"&lt;"&amp;DATE(Config!$B$4,2,1))</f>
        <v>0</v>
      </c>
      <c r="C32" s="11" t="n">
        <f aca="false">SUMIFS(Compras!$G$5:$G$304,Compras!$A$5:$A$304,"&gt;="&amp;DATE(Config!$B$4,1,1),Compras!$A$5:$A$304,"&lt;"&amp;DATE(Config!$B$4,2,1))</f>
        <v>0</v>
      </c>
      <c r="D32" s="11" t="n">
        <f aca="false">SUMIFS(Ventas!$M$5:$M$504,Ventas!$A$5:$A$504,"&gt;="&amp;DATE(Config!$B$4,1,1),Ventas!$A$5:$A$504,"&lt;"&amp;DATE(Config!$B$4,2,1))</f>
        <v>0</v>
      </c>
    </row>
    <row r="33" customFormat="false" ht="15" hidden="false" customHeight="false" outlineLevel="0" collapsed="false">
      <c r="A33" s="7" t="s">
        <v>41</v>
      </c>
      <c r="B33" s="11" t="n">
        <f aca="false">SUMIFS(Ventas!$I$5:$I$504,Ventas!$A$5:$A$504,"&gt;="&amp;DATE(Config!$B$4,2,1),Ventas!$A$5:$A$504,"&lt;"&amp;DATE(Config!$B$4,3,1))</f>
        <v>0</v>
      </c>
      <c r="C33" s="11" t="n">
        <f aca="false">SUMIFS(Compras!$G$5:$G$304,Compras!$A$5:$A$304,"&gt;="&amp;DATE(Config!$B$4,2,1),Compras!$A$5:$A$304,"&lt;"&amp;DATE(Config!$B$4,3,1))</f>
        <v>0</v>
      </c>
      <c r="D33" s="11" t="n">
        <f aca="false">SUMIFS(Ventas!$M$5:$M$504,Ventas!$A$5:$A$504,"&gt;="&amp;DATE(Config!$B$4,2,1),Ventas!$A$5:$A$504,"&lt;"&amp;DATE(Config!$B$4,3,1))</f>
        <v>0</v>
      </c>
    </row>
    <row r="34" customFormat="false" ht="15" hidden="false" customHeight="false" outlineLevel="0" collapsed="false">
      <c r="A34" s="7" t="s">
        <v>42</v>
      </c>
      <c r="B34" s="11" t="n">
        <f aca="false">SUMIFS(Ventas!$I$5:$I$504,Ventas!$A$5:$A$504,"&gt;="&amp;DATE(Config!$B$4,3,1),Ventas!$A$5:$A$504,"&lt;"&amp;DATE(Config!$B$4,4,1))</f>
        <v>0</v>
      </c>
      <c r="C34" s="11" t="n">
        <f aca="false">SUMIFS(Compras!$G$5:$G$304,Compras!$A$5:$A$304,"&gt;="&amp;DATE(Config!$B$4,3,1),Compras!$A$5:$A$304,"&lt;"&amp;DATE(Config!$B$4,4,1))</f>
        <v>0</v>
      </c>
      <c r="D34" s="11" t="n">
        <f aca="false">SUMIFS(Ventas!$M$5:$M$504,Ventas!$A$5:$A$504,"&gt;="&amp;DATE(Config!$B$4,3,1),Ventas!$A$5:$A$504,"&lt;"&amp;DATE(Config!$B$4,4,1))</f>
        <v>0</v>
      </c>
    </row>
    <row r="35" customFormat="false" ht="15" hidden="false" customHeight="false" outlineLevel="0" collapsed="false">
      <c r="A35" s="7" t="s">
        <v>43</v>
      </c>
      <c r="B35" s="11" t="n">
        <f aca="false">SUMIFS(Ventas!$I$5:$I$504,Ventas!$A$5:$A$504,"&gt;="&amp;DATE(Config!$B$4,4,1),Ventas!$A$5:$A$504,"&lt;"&amp;DATE(Config!$B$4,5,1))</f>
        <v>0</v>
      </c>
      <c r="C35" s="11" t="n">
        <f aca="false">SUMIFS(Compras!$G$5:$G$304,Compras!$A$5:$A$304,"&gt;="&amp;DATE(Config!$B$4,4,1),Compras!$A$5:$A$304,"&lt;"&amp;DATE(Config!$B$4,5,1))</f>
        <v>0</v>
      </c>
      <c r="D35" s="11" t="n">
        <f aca="false">SUMIFS(Ventas!$M$5:$M$504,Ventas!$A$5:$A$504,"&gt;="&amp;DATE(Config!$B$4,4,1),Ventas!$A$5:$A$504,"&lt;"&amp;DATE(Config!$B$4,5,1))</f>
        <v>0</v>
      </c>
    </row>
    <row r="36" customFormat="false" ht="15" hidden="false" customHeight="false" outlineLevel="0" collapsed="false">
      <c r="A36" s="7" t="s">
        <v>44</v>
      </c>
      <c r="B36" s="11" t="n">
        <f aca="false">SUMIFS(Ventas!$I$5:$I$504,Ventas!$A$5:$A$504,"&gt;="&amp;DATE(Config!$B$4,5,1),Ventas!$A$5:$A$504,"&lt;"&amp;DATE(Config!$B$4,6,1))</f>
        <v>0</v>
      </c>
      <c r="C36" s="11" t="n">
        <f aca="false">SUMIFS(Compras!$G$5:$G$304,Compras!$A$5:$A$304,"&gt;="&amp;DATE(Config!$B$4,5,1),Compras!$A$5:$A$304,"&lt;"&amp;DATE(Config!$B$4,6,1))</f>
        <v>0</v>
      </c>
      <c r="D36" s="11" t="n">
        <f aca="false">SUMIFS(Ventas!$M$5:$M$504,Ventas!$A$5:$A$504,"&gt;="&amp;DATE(Config!$B$4,5,1),Ventas!$A$5:$A$504,"&lt;"&amp;DATE(Config!$B$4,6,1))</f>
        <v>0</v>
      </c>
    </row>
    <row r="37" customFormat="false" ht="15" hidden="false" customHeight="false" outlineLevel="0" collapsed="false">
      <c r="A37" s="7" t="s">
        <v>45</v>
      </c>
      <c r="B37" s="11" t="n">
        <f aca="false">SUMIFS(Ventas!$I$5:$I$504,Ventas!$A$5:$A$504,"&gt;="&amp;DATE(Config!$B$4,6,1),Ventas!$A$5:$A$504,"&lt;"&amp;DATE(Config!$B$4,7,1))</f>
        <v>0</v>
      </c>
      <c r="C37" s="11" t="n">
        <f aca="false">SUMIFS(Compras!$G$5:$G$304,Compras!$A$5:$A$304,"&gt;="&amp;DATE(Config!$B$4,6,1),Compras!$A$5:$A$304,"&lt;"&amp;DATE(Config!$B$4,7,1))</f>
        <v>0</v>
      </c>
      <c r="D37" s="11" t="n">
        <f aca="false">SUMIFS(Ventas!$M$5:$M$504,Ventas!$A$5:$A$504,"&gt;="&amp;DATE(Config!$B$4,6,1),Ventas!$A$5:$A$504,"&lt;"&amp;DATE(Config!$B$4,7,1))</f>
        <v>0</v>
      </c>
    </row>
    <row r="38" customFormat="false" ht="15" hidden="false" customHeight="false" outlineLevel="0" collapsed="false">
      <c r="A38" s="7" t="s">
        <v>46</v>
      </c>
      <c r="B38" s="11" t="n">
        <f aca="false">SUMIFS(Ventas!$I$5:$I$504,Ventas!$A$5:$A$504,"&gt;="&amp;DATE(Config!$B$4,7,1),Ventas!$A$5:$A$504,"&lt;"&amp;DATE(Config!$B$4,8,1))</f>
        <v>0</v>
      </c>
      <c r="C38" s="11" t="n">
        <f aca="false">SUMIFS(Compras!$G$5:$G$304,Compras!$A$5:$A$304,"&gt;="&amp;DATE(Config!$B$4,7,1),Compras!$A$5:$A$304,"&lt;"&amp;DATE(Config!$B$4,8,1))</f>
        <v>0</v>
      </c>
      <c r="D38" s="11" t="n">
        <f aca="false">SUMIFS(Ventas!$M$5:$M$504,Ventas!$A$5:$A$504,"&gt;="&amp;DATE(Config!$B$4,7,1),Ventas!$A$5:$A$504,"&lt;"&amp;DATE(Config!$B$4,8,1))</f>
        <v>0</v>
      </c>
    </row>
    <row r="39" customFormat="false" ht="15" hidden="false" customHeight="false" outlineLevel="0" collapsed="false">
      <c r="A39" s="7" t="s">
        <v>47</v>
      </c>
      <c r="B39" s="11" t="n">
        <f aca="false">SUMIFS(Ventas!$I$5:$I$504,Ventas!$A$5:$A$504,"&gt;="&amp;DATE(Config!$B$4,8,1),Ventas!$A$5:$A$504,"&lt;"&amp;DATE(Config!$B$4,9,1))</f>
        <v>0</v>
      </c>
      <c r="C39" s="11" t="n">
        <f aca="false">SUMIFS(Compras!$G$5:$G$304,Compras!$A$5:$A$304,"&gt;="&amp;DATE(Config!$B$4,8,1),Compras!$A$5:$A$304,"&lt;"&amp;DATE(Config!$B$4,9,1))</f>
        <v>0</v>
      </c>
      <c r="D39" s="11" t="n">
        <f aca="false">SUMIFS(Ventas!$M$5:$M$504,Ventas!$A$5:$A$504,"&gt;="&amp;DATE(Config!$B$4,8,1),Ventas!$A$5:$A$504,"&lt;"&amp;DATE(Config!$B$4,9,1))</f>
        <v>0</v>
      </c>
    </row>
    <row r="40" customFormat="false" ht="15" hidden="false" customHeight="false" outlineLevel="0" collapsed="false">
      <c r="A40" s="7" t="s">
        <v>48</v>
      </c>
      <c r="B40" s="11" t="n">
        <f aca="false">SUMIFS(Ventas!$I$5:$I$504,Ventas!$A$5:$A$504,"&gt;="&amp;DATE(Config!$B$4,9,1),Ventas!$A$5:$A$504,"&lt;"&amp;DATE(Config!$B$4,10,1))</f>
        <v>119.51</v>
      </c>
      <c r="C40" s="11" t="n">
        <f aca="false">SUMIFS(Compras!$G$5:$G$304,Compras!$A$5:$A$304,"&gt;="&amp;DATE(Config!$B$4,9,1),Compras!$A$5:$A$304,"&lt;"&amp;DATE(Config!$B$4,10,1))</f>
        <v>197.4</v>
      </c>
      <c r="D40" s="11" t="n">
        <f aca="false">SUMIFS(Ventas!$M$5:$M$504,Ventas!$A$5:$A$504,"&gt;="&amp;DATE(Config!$B$4,9,1),Ventas!$A$5:$A$504,"&lt;"&amp;DATE(Config!$B$4,10,1))</f>
        <v>50.11</v>
      </c>
    </row>
    <row r="41" customFormat="false" ht="15" hidden="false" customHeight="false" outlineLevel="0" collapsed="false">
      <c r="A41" s="7" t="s">
        <v>49</v>
      </c>
      <c r="B41" s="11" t="n">
        <f aca="false">SUMIFS(Ventas!$I$5:$I$504,Ventas!$A$5:$A$504,"&gt;="&amp;DATE(Config!$B$4,10,1),Ventas!$A$5:$A$504,"&lt;"&amp;DATE(Config!$B$4,11,1))</f>
        <v>165.55</v>
      </c>
      <c r="C41" s="11" t="n">
        <f aca="false">SUMIFS(Compras!$G$5:$G$304,Compras!$A$5:$A$304,"&gt;="&amp;DATE(Config!$B$4,10,1),Compras!$A$5:$A$304,"&lt;"&amp;DATE(Config!$B$4,11,1))</f>
        <v>136.5</v>
      </c>
      <c r="D41" s="11" t="n">
        <f aca="false">SUMIFS(Ventas!$M$5:$M$504,Ventas!$A$5:$A$504,"&gt;="&amp;DATE(Config!$B$4,10,1),Ventas!$A$5:$A$504,"&lt;"&amp;DATE(Config!$B$4,11,1))</f>
        <v>68</v>
      </c>
    </row>
    <row r="42" customFormat="false" ht="15" hidden="false" customHeight="false" outlineLevel="0" collapsed="false">
      <c r="A42" s="7" t="s">
        <v>50</v>
      </c>
      <c r="B42" s="11" t="n">
        <f aca="false">SUMIFS(Ventas!$I$5:$I$504,Ventas!$A$5:$A$504,"&gt;="&amp;DATE(Config!$B$4,11,1),Ventas!$A$5:$A$504,"&lt;"&amp;DATE(Config!$B$4,12,1))</f>
        <v>0</v>
      </c>
      <c r="C42" s="11" t="n">
        <f aca="false">SUMIFS(Compras!$G$5:$G$304,Compras!$A$5:$A$304,"&gt;="&amp;DATE(Config!$B$4,11,1),Compras!$A$5:$A$304,"&lt;"&amp;DATE(Config!$B$4,12,1))</f>
        <v>0</v>
      </c>
      <c r="D42" s="11" t="n">
        <f aca="false">SUMIFS(Ventas!$M$5:$M$504,Ventas!$A$5:$A$504,"&gt;="&amp;DATE(Config!$B$4,11,1),Ventas!$A$5:$A$504,"&lt;"&amp;DATE(Config!$B$4,12,1))</f>
        <v>0</v>
      </c>
    </row>
    <row r="43" customFormat="false" ht="15" hidden="false" customHeight="false" outlineLevel="0" collapsed="false">
      <c r="A43" s="7" t="s">
        <v>51</v>
      </c>
      <c r="B43" s="11" t="n">
        <f aca="false">SUMIFS(Ventas!$I$5:$I$504,Ventas!$A$5:$A$504,"&gt;="&amp;DATE(Config!$B$4,12,1),Ventas!$A$5:$A$504,"&lt;"&amp;DATE(Config!$B$4,13,1))</f>
        <v>0</v>
      </c>
      <c r="C43" s="11" t="n">
        <f aca="false">SUMIFS(Compras!$G$5:$G$304,Compras!$A$5:$A$304,"&gt;="&amp;DATE(Config!$B$4,12,1),Compras!$A$5:$A$304,"&lt;"&amp;DATE(Config!$B$4,13,1))</f>
        <v>0</v>
      </c>
      <c r="D43" s="11" t="n">
        <f aca="false">SUMIFS(Ventas!$M$5:$M$504,Ventas!$A$5:$A$504,"&gt;="&amp;DATE(Config!$B$4,12,1),Ventas!$A$5:$A$504,"&lt;"&amp;DATE(Config!$B$4,13,1))</f>
        <v>0</v>
      </c>
    </row>
    <row r="44" customFormat="false" ht="15" hidden="false" customHeight="false" outlineLevel="0" collapsed="false">
      <c r="A44" s="9" t="s">
        <v>52</v>
      </c>
      <c r="B44" s="14" t="n">
        <f aca="false">SUM(B32:B43)</f>
        <v>285.06</v>
      </c>
      <c r="C44" s="14" t="n">
        <f aca="false">SUM(C32:C43)</f>
        <v>333.9</v>
      </c>
      <c r="D44" s="14" t="n">
        <f aca="false">SUM(D32:D43)</f>
        <v>118.11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8" min="6" style="0" width="13"/>
    <col collapsed="false" customWidth="true" hidden="false" outlineLevel="0" max="9" min="9" style="0" width="11"/>
    <col collapsed="false" customWidth="true" hidden="false" outlineLevel="0" max="10" min="10" style="0" width="17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5" t="s">
        <v>54</v>
      </c>
    </row>
    <row r="4" customFormat="false" ht="45" hidden="false" customHeight="true" outlineLevel="0" collapsed="false">
      <c r="A4" s="19" t="s">
        <v>55</v>
      </c>
      <c r="B4" s="19" t="s">
        <v>56</v>
      </c>
      <c r="C4" s="19" t="s">
        <v>34</v>
      </c>
      <c r="D4" s="19" t="s">
        <v>57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62</v>
      </c>
      <c r="J4" s="19" t="s">
        <v>63</v>
      </c>
    </row>
    <row r="5" customFormat="false" ht="15" hidden="false" customHeight="false" outlineLevel="0" collapsed="false">
      <c r="A5" s="20" t="s">
        <v>64</v>
      </c>
      <c r="B5" s="20" t="s">
        <v>65</v>
      </c>
      <c r="C5" s="20" t="s">
        <v>66</v>
      </c>
      <c r="D5" s="20" t="s">
        <v>67</v>
      </c>
      <c r="E5" s="21" t="n">
        <v>50</v>
      </c>
      <c r="F5" s="22" t="n">
        <v>0.9</v>
      </c>
      <c r="G5" s="22" t="n">
        <v>1.5</v>
      </c>
      <c r="H5" s="11" t="n">
        <f aca="false">IF(B5="","",G5-F5)</f>
        <v>0.6</v>
      </c>
      <c r="I5" s="23" t="n">
        <f aca="false">IF(OR(B5="",G5=0),"",H5/G5)</f>
        <v>0.4</v>
      </c>
      <c r="J5" s="21" t="n">
        <v>15</v>
      </c>
    </row>
    <row r="6" customFormat="false" ht="15" hidden="false" customHeight="false" outlineLevel="0" collapsed="false">
      <c r="A6" s="20" t="s">
        <v>68</v>
      </c>
      <c r="B6" s="20" t="s">
        <v>69</v>
      </c>
      <c r="C6" s="20" t="s">
        <v>66</v>
      </c>
      <c r="D6" s="20" t="s">
        <v>67</v>
      </c>
      <c r="E6" s="21" t="n">
        <v>30</v>
      </c>
      <c r="F6" s="22" t="n">
        <v>4.5</v>
      </c>
      <c r="G6" s="22" t="n">
        <v>6.9</v>
      </c>
      <c r="H6" s="11" t="n">
        <f aca="false">IF(B6="","",G6-F6)</f>
        <v>2.4</v>
      </c>
      <c r="I6" s="23" t="n">
        <f aca="false">IF(OR(B6="",G6=0),"",H6/G6)</f>
        <v>0.347826086956522</v>
      </c>
      <c r="J6" s="21" t="n">
        <v>10</v>
      </c>
    </row>
    <row r="7" customFormat="false" ht="15" hidden="false" customHeight="false" outlineLevel="0" collapsed="false">
      <c r="A7" s="20" t="s">
        <v>70</v>
      </c>
      <c r="B7" s="20" t="s">
        <v>71</v>
      </c>
      <c r="C7" s="20" t="s">
        <v>72</v>
      </c>
      <c r="D7" s="20" t="s">
        <v>73</v>
      </c>
      <c r="E7" s="21" t="n">
        <v>60</v>
      </c>
      <c r="F7" s="22" t="n">
        <v>0.65</v>
      </c>
      <c r="G7" s="22" t="n">
        <v>1.05</v>
      </c>
      <c r="H7" s="11" t="n">
        <f aca="false">IF(B7="","",G7-F7)</f>
        <v>0.4</v>
      </c>
      <c r="I7" s="23" t="n">
        <f aca="false">IF(OR(B7="",G7=0),"",H7/G7)</f>
        <v>0.380952380952381</v>
      </c>
      <c r="J7" s="21" t="n">
        <v>20</v>
      </c>
    </row>
    <row r="8" customFormat="false" ht="15" hidden="false" customHeight="false" outlineLevel="0" collapsed="false">
      <c r="A8" s="20" t="s">
        <v>74</v>
      </c>
      <c r="B8" s="20" t="s">
        <v>75</v>
      </c>
      <c r="C8" s="20" t="s">
        <v>72</v>
      </c>
      <c r="D8" s="20" t="s">
        <v>73</v>
      </c>
      <c r="E8" s="21" t="n">
        <v>40</v>
      </c>
      <c r="F8" s="22" t="n">
        <v>1.1</v>
      </c>
      <c r="G8" s="22" t="n">
        <v>1.85</v>
      </c>
      <c r="H8" s="11" t="n">
        <f aca="false">IF(B8="","",G8-F8)</f>
        <v>0.75</v>
      </c>
      <c r="I8" s="23" t="n">
        <f aca="false">IF(OR(B8="",G8=0),"",H8/G8)</f>
        <v>0.405405405405405</v>
      </c>
      <c r="J8" s="21" t="n">
        <v>12</v>
      </c>
    </row>
    <row r="9" customFormat="false" ht="15" hidden="false" customHeight="false" outlineLevel="0" collapsed="false">
      <c r="A9" s="20" t="s">
        <v>76</v>
      </c>
      <c r="B9" s="20" t="s">
        <v>77</v>
      </c>
      <c r="C9" s="20" t="s">
        <v>78</v>
      </c>
      <c r="D9" s="20" t="s">
        <v>79</v>
      </c>
      <c r="E9" s="21" t="n">
        <v>45</v>
      </c>
      <c r="F9" s="22" t="n">
        <v>1</v>
      </c>
      <c r="G9" s="22" t="n">
        <v>1.75</v>
      </c>
      <c r="H9" s="11" t="n">
        <f aca="false">IF(B9="","",G9-F9)</f>
        <v>0.75</v>
      </c>
      <c r="I9" s="23" t="n">
        <f aca="false">IF(OR(B9="",G9=0),"",H9/G9)</f>
        <v>0.428571428571429</v>
      </c>
      <c r="J9" s="21" t="n">
        <v>15</v>
      </c>
    </row>
    <row r="10" customFormat="false" ht="15" hidden="false" customHeight="false" outlineLevel="0" collapsed="false">
      <c r="A10" s="20" t="s">
        <v>80</v>
      </c>
      <c r="B10" s="20" t="s">
        <v>81</v>
      </c>
      <c r="C10" s="20" t="s">
        <v>78</v>
      </c>
      <c r="D10" s="20" t="s">
        <v>79</v>
      </c>
      <c r="E10" s="21" t="n">
        <v>80</v>
      </c>
      <c r="F10" s="22" t="n">
        <v>0.3</v>
      </c>
      <c r="G10" s="22" t="n">
        <v>0.65</v>
      </c>
      <c r="H10" s="11" t="n">
        <f aca="false">IF(B10="","",G10-F10)</f>
        <v>0.35</v>
      </c>
      <c r="I10" s="23" t="n">
        <f aca="false">IF(OR(B10="",G10=0),"",H10/G10)</f>
        <v>0.538461538461539</v>
      </c>
      <c r="J10" s="21" t="n">
        <v>30</v>
      </c>
    </row>
    <row r="11" customFormat="false" ht="15" hidden="false" customHeight="false" outlineLevel="0" collapsed="false">
      <c r="A11" s="20" t="s">
        <v>82</v>
      </c>
      <c r="B11" s="20" t="s">
        <v>83</v>
      </c>
      <c r="C11" s="20" t="s">
        <v>84</v>
      </c>
      <c r="D11" s="20" t="s">
        <v>85</v>
      </c>
      <c r="E11" s="21" t="n">
        <v>20</v>
      </c>
      <c r="F11" s="22" t="n">
        <v>5.2</v>
      </c>
      <c r="G11" s="22" t="n">
        <v>8.5</v>
      </c>
      <c r="H11" s="11" t="n">
        <f aca="false">IF(B11="","",G11-F11)</f>
        <v>3.3</v>
      </c>
      <c r="I11" s="23" t="n">
        <f aca="false">IF(OR(B11="",G11=0),"",H11/G11)</f>
        <v>0.388235294117647</v>
      </c>
      <c r="J11" s="21" t="n">
        <v>6</v>
      </c>
    </row>
    <row r="12" customFormat="false" ht="15" hidden="false" customHeight="false" outlineLevel="0" collapsed="false">
      <c r="A12" s="20" t="s">
        <v>86</v>
      </c>
      <c r="B12" s="20" t="s">
        <v>87</v>
      </c>
      <c r="C12" s="20" t="s">
        <v>84</v>
      </c>
      <c r="D12" s="20" t="s">
        <v>85</v>
      </c>
      <c r="E12" s="21" t="n">
        <v>25</v>
      </c>
      <c r="F12" s="22" t="n">
        <v>3.4</v>
      </c>
      <c r="G12" s="22" t="n">
        <v>5.6</v>
      </c>
      <c r="H12" s="11" t="n">
        <f aca="false">IF(B12="","",G12-F12)</f>
        <v>2.2</v>
      </c>
      <c r="I12" s="23" t="n">
        <f aca="false">IF(OR(B12="",G12=0),"",H12/G12)</f>
        <v>0.392857142857143</v>
      </c>
      <c r="J12" s="21" t="n">
        <v>8</v>
      </c>
    </row>
    <row r="13" customFormat="false" ht="15" hidden="false" customHeight="false" outlineLevel="0" collapsed="false">
      <c r="A13" s="20" t="s">
        <v>88</v>
      </c>
      <c r="B13" s="20" t="s">
        <v>89</v>
      </c>
      <c r="C13" s="20" t="s">
        <v>90</v>
      </c>
      <c r="D13" s="20" t="s">
        <v>91</v>
      </c>
      <c r="E13" s="21" t="n">
        <v>35</v>
      </c>
      <c r="F13" s="22" t="n">
        <v>1.2</v>
      </c>
      <c r="G13" s="22" t="n">
        <v>2.2</v>
      </c>
      <c r="H13" s="11" t="n">
        <f aca="false">IF(B13="","",G13-F13)</f>
        <v>1</v>
      </c>
      <c r="I13" s="23" t="n">
        <f aca="false">IF(OR(B13="",G13=0),"",H13/G13)</f>
        <v>0.454545454545455</v>
      </c>
      <c r="J13" s="21" t="n">
        <v>10</v>
      </c>
    </row>
    <row r="14" customFormat="false" ht="15" hidden="false" customHeight="false" outlineLevel="0" collapsed="false">
      <c r="A14" s="20" t="s">
        <v>92</v>
      </c>
      <c r="B14" s="20" t="s">
        <v>93</v>
      </c>
      <c r="C14" s="20" t="s">
        <v>90</v>
      </c>
      <c r="D14" s="20" t="s">
        <v>91</v>
      </c>
      <c r="E14" s="21" t="n">
        <v>40</v>
      </c>
      <c r="F14" s="22" t="n">
        <v>0.95</v>
      </c>
      <c r="G14" s="22" t="n">
        <v>1.8</v>
      </c>
      <c r="H14" s="11" t="n">
        <f aca="false">IF(B14="","",G14-F14)</f>
        <v>0.85</v>
      </c>
      <c r="I14" s="23" t="n">
        <f aca="false">IF(OR(B14="",G14=0),"",H14/G14)</f>
        <v>0.472222222222222</v>
      </c>
      <c r="J14" s="21" t="n">
        <v>12</v>
      </c>
    </row>
    <row r="15" customFormat="false" ht="15" hidden="false" customHeight="false" outlineLevel="0" collapsed="false">
      <c r="A15" s="20" t="s">
        <v>94</v>
      </c>
      <c r="B15" s="20" t="s">
        <v>95</v>
      </c>
      <c r="C15" s="20" t="s">
        <v>96</v>
      </c>
      <c r="D15" s="20" t="s">
        <v>97</v>
      </c>
      <c r="E15" s="21" t="n">
        <v>15</v>
      </c>
      <c r="F15" s="22" t="n">
        <v>1.4</v>
      </c>
      <c r="G15" s="22" t="n">
        <v>2.9</v>
      </c>
      <c r="H15" s="11" t="n">
        <f aca="false">IF(B15="","",G15-F15)</f>
        <v>1.5</v>
      </c>
      <c r="I15" s="23" t="n">
        <f aca="false">IF(OR(B15="",G15=0),"",H15/G15)</f>
        <v>0.517241379310345</v>
      </c>
      <c r="J15" s="21" t="n">
        <v>5</v>
      </c>
    </row>
    <row r="16" customFormat="false" ht="15" hidden="false" customHeight="false" outlineLevel="0" collapsed="false">
      <c r="A16" s="20" t="s">
        <v>98</v>
      </c>
      <c r="B16" s="20" t="s">
        <v>99</v>
      </c>
      <c r="C16" s="20" t="s">
        <v>96</v>
      </c>
      <c r="D16" s="20" t="s">
        <v>97</v>
      </c>
      <c r="E16" s="21" t="n">
        <v>12</v>
      </c>
      <c r="F16" s="22" t="n">
        <v>2.1</v>
      </c>
      <c r="G16" s="22" t="n">
        <v>4.2</v>
      </c>
      <c r="H16" s="11" t="n">
        <f aca="false">IF(B16="","",G16-F16)</f>
        <v>2.1</v>
      </c>
      <c r="I16" s="23" t="n">
        <f aca="false">IF(OR(B16="",G16=0),"",H16/G16)</f>
        <v>0.5</v>
      </c>
      <c r="J16" s="21" t="n">
        <v>4</v>
      </c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2"/>
      <c r="G17" s="22"/>
      <c r="H17" s="11" t="str">
        <f aca="false">IF(B17="","",G17-F17)</f>
        <v/>
      </c>
      <c r="I17" s="23" t="str">
        <f aca="false">IF(OR(B17="",G17=0),"",H17/G17)</f>
        <v/>
      </c>
      <c r="J17" s="21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2"/>
      <c r="G18" s="22"/>
      <c r="H18" s="11" t="str">
        <f aca="false">IF(B18="","",G18-F18)</f>
        <v/>
      </c>
      <c r="I18" s="23" t="str">
        <f aca="false">IF(OR(B18="",G18=0),"",H18/G18)</f>
        <v/>
      </c>
      <c r="J18" s="21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2"/>
      <c r="G19" s="22"/>
      <c r="H19" s="11" t="str">
        <f aca="false">IF(B19="","",G19-F19)</f>
        <v/>
      </c>
      <c r="I19" s="23" t="str">
        <f aca="false">IF(OR(B19="",G19=0),"",H19/G19)</f>
        <v/>
      </c>
      <c r="J19" s="21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2"/>
      <c r="G20" s="22"/>
      <c r="H20" s="11" t="str">
        <f aca="false">IF(B20="","",G20-F20)</f>
        <v/>
      </c>
      <c r="I20" s="23" t="str">
        <f aca="false">IF(OR(B20="",G20=0),"",H20/G20)</f>
        <v/>
      </c>
      <c r="J20" s="21"/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2"/>
      <c r="G21" s="22"/>
      <c r="H21" s="11" t="str">
        <f aca="false">IF(B21="","",G21-F21)</f>
        <v/>
      </c>
      <c r="I21" s="23" t="str">
        <f aca="false">IF(OR(B21="",G21=0),"",H21/G21)</f>
        <v/>
      </c>
      <c r="J21" s="21"/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2"/>
      <c r="G22" s="22"/>
      <c r="H22" s="11" t="str">
        <f aca="false">IF(B22="","",G22-F22)</f>
        <v/>
      </c>
      <c r="I22" s="23" t="str">
        <f aca="false">IF(OR(B22="",G22=0),"",H22/G22)</f>
        <v/>
      </c>
      <c r="J22" s="21"/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2"/>
      <c r="G23" s="22"/>
      <c r="H23" s="11" t="str">
        <f aca="false">IF(B23="","",G23-F23)</f>
        <v/>
      </c>
      <c r="I23" s="23" t="str">
        <f aca="false">IF(OR(B23="",G23=0),"",H23/G23)</f>
        <v/>
      </c>
      <c r="J23" s="21"/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2"/>
      <c r="G24" s="22"/>
      <c r="H24" s="11" t="str">
        <f aca="false">IF(B24="","",G24-F24)</f>
        <v/>
      </c>
      <c r="I24" s="23" t="str">
        <f aca="false">IF(OR(B24="",G24=0),"",H24/G24)</f>
        <v/>
      </c>
      <c r="J24" s="21"/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2"/>
      <c r="G25" s="22"/>
      <c r="H25" s="11" t="str">
        <f aca="false">IF(B25="","",G25-F25)</f>
        <v/>
      </c>
      <c r="I25" s="23" t="str">
        <f aca="false">IF(OR(B25="",G25=0),"",H25/G25)</f>
        <v/>
      </c>
      <c r="J25" s="21"/>
    </row>
    <row r="26" customFormat="false" ht="15" hidden="false" customHeight="false" outlineLevel="0" collapsed="false">
      <c r="A26" s="20"/>
      <c r="B26" s="20"/>
      <c r="C26" s="20"/>
      <c r="D26" s="20"/>
      <c r="E26" s="21"/>
      <c r="F26" s="22"/>
      <c r="G26" s="22"/>
      <c r="H26" s="11" t="str">
        <f aca="false">IF(B26="","",G26-F26)</f>
        <v/>
      </c>
      <c r="I26" s="23" t="str">
        <f aca="false">IF(OR(B26="",G26=0),"",H26/G26)</f>
        <v/>
      </c>
      <c r="J26" s="21"/>
    </row>
    <row r="27" customFormat="false" ht="15" hidden="false" customHeight="false" outlineLevel="0" collapsed="false">
      <c r="A27" s="20"/>
      <c r="B27" s="20"/>
      <c r="C27" s="20"/>
      <c r="D27" s="20"/>
      <c r="E27" s="21"/>
      <c r="F27" s="22"/>
      <c r="G27" s="22"/>
      <c r="H27" s="11" t="str">
        <f aca="false">IF(B27="","",G27-F27)</f>
        <v/>
      </c>
      <c r="I27" s="23" t="str">
        <f aca="false">IF(OR(B27="",G27=0),"",H27/G27)</f>
        <v/>
      </c>
      <c r="J27" s="21"/>
    </row>
    <row r="28" customFormat="false" ht="15" hidden="false" customHeight="false" outlineLevel="0" collapsed="false">
      <c r="A28" s="20"/>
      <c r="B28" s="20"/>
      <c r="C28" s="20"/>
      <c r="D28" s="20"/>
      <c r="E28" s="21"/>
      <c r="F28" s="22"/>
      <c r="G28" s="22"/>
      <c r="H28" s="11" t="str">
        <f aca="false">IF(B28="","",G28-F28)</f>
        <v/>
      </c>
      <c r="I28" s="23" t="str">
        <f aca="false">IF(OR(B28="",G28=0),"",H28/G28)</f>
        <v/>
      </c>
      <c r="J28" s="21"/>
    </row>
    <row r="29" customFormat="false" ht="15" hidden="false" customHeight="false" outlineLevel="0" collapsed="false">
      <c r="A29" s="20"/>
      <c r="B29" s="20"/>
      <c r="C29" s="20"/>
      <c r="D29" s="20"/>
      <c r="E29" s="21"/>
      <c r="F29" s="22"/>
      <c r="G29" s="22"/>
      <c r="H29" s="11" t="str">
        <f aca="false">IF(B29="","",G29-F29)</f>
        <v/>
      </c>
      <c r="I29" s="23" t="str">
        <f aca="false">IF(OR(B29="",G29=0),"",H29/G29)</f>
        <v/>
      </c>
      <c r="J29" s="21"/>
    </row>
    <row r="30" customFormat="false" ht="15" hidden="false" customHeight="false" outlineLevel="0" collapsed="false">
      <c r="A30" s="20"/>
      <c r="B30" s="20"/>
      <c r="C30" s="20"/>
      <c r="D30" s="20"/>
      <c r="E30" s="21"/>
      <c r="F30" s="22"/>
      <c r="G30" s="22"/>
      <c r="H30" s="11" t="str">
        <f aca="false">IF(B30="","",G30-F30)</f>
        <v/>
      </c>
      <c r="I30" s="23" t="str">
        <f aca="false">IF(OR(B30="",G30=0),"",H30/G30)</f>
        <v/>
      </c>
      <c r="J30" s="21"/>
    </row>
    <row r="31" customFormat="false" ht="15" hidden="false" customHeight="false" outlineLevel="0" collapsed="false">
      <c r="A31" s="20"/>
      <c r="B31" s="20"/>
      <c r="C31" s="20"/>
      <c r="D31" s="20"/>
      <c r="E31" s="21"/>
      <c r="F31" s="22"/>
      <c r="G31" s="22"/>
      <c r="H31" s="11" t="str">
        <f aca="false">IF(B31="","",G31-F31)</f>
        <v/>
      </c>
      <c r="I31" s="23" t="str">
        <f aca="false">IF(OR(B31="",G31=0),"",H31/G31)</f>
        <v/>
      </c>
      <c r="J31" s="21"/>
    </row>
    <row r="32" customFormat="false" ht="15" hidden="false" customHeight="false" outlineLevel="0" collapsed="false">
      <c r="A32" s="20"/>
      <c r="B32" s="20"/>
      <c r="C32" s="20"/>
      <c r="D32" s="20"/>
      <c r="E32" s="21"/>
      <c r="F32" s="22"/>
      <c r="G32" s="22"/>
      <c r="H32" s="11" t="str">
        <f aca="false">IF(B32="","",G32-F32)</f>
        <v/>
      </c>
      <c r="I32" s="23" t="str">
        <f aca="false">IF(OR(B32="",G32=0),"",H32/G32)</f>
        <v/>
      </c>
      <c r="J32" s="21"/>
    </row>
    <row r="33" customFormat="false" ht="15" hidden="false" customHeight="false" outlineLevel="0" collapsed="false">
      <c r="A33" s="20"/>
      <c r="B33" s="20"/>
      <c r="C33" s="20"/>
      <c r="D33" s="20"/>
      <c r="E33" s="21"/>
      <c r="F33" s="22"/>
      <c r="G33" s="22"/>
      <c r="H33" s="11" t="str">
        <f aca="false">IF(B33="","",G33-F33)</f>
        <v/>
      </c>
      <c r="I33" s="23" t="str">
        <f aca="false">IF(OR(B33="",G33=0),"",H33/G33)</f>
        <v/>
      </c>
      <c r="J33" s="21"/>
    </row>
    <row r="34" customFormat="false" ht="15" hidden="false" customHeight="false" outlineLevel="0" collapsed="false">
      <c r="A34" s="20"/>
      <c r="B34" s="20"/>
      <c r="C34" s="20"/>
      <c r="D34" s="20"/>
      <c r="E34" s="21"/>
      <c r="F34" s="22"/>
      <c r="G34" s="22"/>
      <c r="H34" s="11" t="str">
        <f aca="false">IF(B34="","",G34-F34)</f>
        <v/>
      </c>
      <c r="I34" s="23" t="str">
        <f aca="false">IF(OR(B34="",G34=0),"",H34/G34)</f>
        <v/>
      </c>
      <c r="J34" s="21"/>
    </row>
    <row r="35" customFormat="false" ht="15" hidden="false" customHeight="false" outlineLevel="0" collapsed="false">
      <c r="A35" s="20"/>
      <c r="B35" s="20"/>
      <c r="C35" s="20"/>
      <c r="D35" s="20"/>
      <c r="E35" s="21"/>
      <c r="F35" s="22"/>
      <c r="G35" s="22"/>
      <c r="H35" s="11" t="str">
        <f aca="false">IF(B35="","",G35-F35)</f>
        <v/>
      </c>
      <c r="I35" s="23" t="str">
        <f aca="false">IF(OR(B35="",G35=0),"",H35/G35)</f>
        <v/>
      </c>
      <c r="J35" s="21"/>
    </row>
    <row r="36" customFormat="false" ht="15" hidden="false" customHeight="false" outlineLevel="0" collapsed="false">
      <c r="A36" s="20"/>
      <c r="B36" s="20"/>
      <c r="C36" s="20"/>
      <c r="D36" s="20"/>
      <c r="E36" s="21"/>
      <c r="F36" s="22"/>
      <c r="G36" s="22"/>
      <c r="H36" s="11" t="str">
        <f aca="false">IF(B36="","",G36-F36)</f>
        <v/>
      </c>
      <c r="I36" s="23" t="str">
        <f aca="false">IF(OR(B36="",G36=0),"",H36/G36)</f>
        <v/>
      </c>
      <c r="J36" s="21"/>
    </row>
    <row r="37" customFormat="false" ht="15" hidden="false" customHeight="false" outlineLevel="0" collapsed="false">
      <c r="A37" s="20"/>
      <c r="B37" s="20"/>
      <c r="C37" s="20"/>
      <c r="D37" s="20"/>
      <c r="E37" s="21"/>
      <c r="F37" s="22"/>
      <c r="G37" s="22"/>
      <c r="H37" s="11" t="str">
        <f aca="false">IF(B37="","",G37-F37)</f>
        <v/>
      </c>
      <c r="I37" s="23" t="str">
        <f aca="false">IF(OR(B37="",G37=0),"",H37/G37)</f>
        <v/>
      </c>
      <c r="J37" s="21"/>
    </row>
    <row r="38" customFormat="false" ht="15" hidden="false" customHeight="false" outlineLevel="0" collapsed="false">
      <c r="A38" s="20"/>
      <c r="B38" s="20"/>
      <c r="C38" s="20"/>
      <c r="D38" s="20"/>
      <c r="E38" s="21"/>
      <c r="F38" s="22"/>
      <c r="G38" s="22"/>
      <c r="H38" s="11" t="str">
        <f aca="false">IF(B38="","",G38-F38)</f>
        <v/>
      </c>
      <c r="I38" s="23" t="str">
        <f aca="false">IF(OR(B38="",G38=0),"",H38/G38)</f>
        <v/>
      </c>
      <c r="J38" s="21"/>
    </row>
    <row r="39" customFormat="false" ht="15" hidden="false" customHeight="false" outlineLevel="0" collapsed="false">
      <c r="A39" s="20"/>
      <c r="B39" s="20"/>
      <c r="C39" s="20"/>
      <c r="D39" s="20"/>
      <c r="E39" s="21"/>
      <c r="F39" s="22"/>
      <c r="G39" s="22"/>
      <c r="H39" s="11" t="str">
        <f aca="false">IF(B39="","",G39-F39)</f>
        <v/>
      </c>
      <c r="I39" s="23" t="str">
        <f aca="false">IF(OR(B39="",G39=0),"",H39/G39)</f>
        <v/>
      </c>
      <c r="J39" s="21"/>
    </row>
    <row r="40" customFormat="false" ht="15" hidden="false" customHeight="false" outlineLevel="0" collapsed="false">
      <c r="A40" s="20"/>
      <c r="B40" s="20"/>
      <c r="C40" s="20"/>
      <c r="D40" s="20"/>
      <c r="E40" s="21"/>
      <c r="F40" s="22"/>
      <c r="G40" s="22"/>
      <c r="H40" s="11" t="str">
        <f aca="false">IF(B40="","",G40-F40)</f>
        <v/>
      </c>
      <c r="I40" s="23" t="str">
        <f aca="false">IF(OR(B40="",G40=0),"",H40/G40)</f>
        <v/>
      </c>
      <c r="J40" s="21"/>
    </row>
    <row r="41" customFormat="false" ht="15" hidden="false" customHeight="false" outlineLevel="0" collapsed="false">
      <c r="A41" s="20"/>
      <c r="B41" s="20"/>
      <c r="C41" s="20"/>
      <c r="D41" s="20"/>
      <c r="E41" s="21"/>
      <c r="F41" s="22"/>
      <c r="G41" s="22"/>
      <c r="H41" s="11" t="str">
        <f aca="false">IF(B41="","",G41-F41)</f>
        <v/>
      </c>
      <c r="I41" s="23" t="str">
        <f aca="false">IF(OR(B41="",G41=0),"",H41/G41)</f>
        <v/>
      </c>
      <c r="J41" s="21"/>
    </row>
    <row r="42" customFormat="false" ht="15" hidden="false" customHeight="false" outlineLevel="0" collapsed="false">
      <c r="A42" s="20"/>
      <c r="B42" s="20"/>
      <c r="C42" s="20"/>
      <c r="D42" s="20"/>
      <c r="E42" s="21"/>
      <c r="F42" s="22"/>
      <c r="G42" s="22"/>
      <c r="H42" s="11" t="str">
        <f aca="false">IF(B42="","",G42-F42)</f>
        <v/>
      </c>
      <c r="I42" s="23" t="str">
        <f aca="false">IF(OR(B42="",G42=0),"",H42/G42)</f>
        <v/>
      </c>
      <c r="J42" s="21"/>
    </row>
    <row r="43" customFormat="false" ht="15" hidden="false" customHeight="false" outlineLevel="0" collapsed="false">
      <c r="A43" s="20"/>
      <c r="B43" s="20"/>
      <c r="C43" s="20"/>
      <c r="D43" s="20"/>
      <c r="E43" s="21"/>
      <c r="F43" s="22"/>
      <c r="G43" s="22"/>
      <c r="H43" s="11" t="str">
        <f aca="false">IF(B43="","",G43-F43)</f>
        <v/>
      </c>
      <c r="I43" s="23" t="str">
        <f aca="false">IF(OR(B43="",G43=0),"",H43/G43)</f>
        <v/>
      </c>
      <c r="J43" s="21"/>
    </row>
    <row r="44" customFormat="false" ht="15" hidden="false" customHeight="false" outlineLevel="0" collapsed="false">
      <c r="A44" s="20"/>
      <c r="B44" s="20"/>
      <c r="C44" s="20"/>
      <c r="D44" s="20"/>
      <c r="E44" s="21"/>
      <c r="F44" s="22"/>
      <c r="G44" s="22"/>
      <c r="H44" s="11" t="str">
        <f aca="false">IF(B44="","",G44-F44)</f>
        <v/>
      </c>
      <c r="I44" s="23" t="str">
        <f aca="false">IF(OR(B44="",G44=0),"",H44/G44)</f>
        <v/>
      </c>
      <c r="J44" s="21"/>
    </row>
    <row r="45" customFormat="false" ht="15" hidden="false" customHeight="false" outlineLevel="0" collapsed="false">
      <c r="A45" s="20"/>
      <c r="B45" s="20"/>
      <c r="C45" s="20"/>
      <c r="D45" s="20"/>
      <c r="E45" s="21"/>
      <c r="F45" s="22"/>
      <c r="G45" s="22"/>
      <c r="H45" s="11" t="str">
        <f aca="false">IF(B45="","",G45-F45)</f>
        <v/>
      </c>
      <c r="I45" s="23" t="str">
        <f aca="false">IF(OR(B45="",G45=0),"",H45/G45)</f>
        <v/>
      </c>
      <c r="J45" s="21"/>
    </row>
    <row r="46" customFormat="false" ht="15" hidden="false" customHeight="false" outlineLevel="0" collapsed="false">
      <c r="A46" s="20"/>
      <c r="B46" s="20"/>
      <c r="C46" s="20"/>
      <c r="D46" s="20"/>
      <c r="E46" s="21"/>
      <c r="F46" s="22"/>
      <c r="G46" s="22"/>
      <c r="H46" s="11" t="str">
        <f aca="false">IF(B46="","",G46-F46)</f>
        <v/>
      </c>
      <c r="I46" s="23" t="str">
        <f aca="false">IF(OR(B46="",G46=0),"",H46/G46)</f>
        <v/>
      </c>
      <c r="J46" s="21"/>
    </row>
    <row r="47" customFormat="false" ht="15" hidden="false" customHeight="false" outlineLevel="0" collapsed="false">
      <c r="A47" s="20"/>
      <c r="B47" s="20"/>
      <c r="C47" s="20"/>
      <c r="D47" s="20"/>
      <c r="E47" s="21"/>
      <c r="F47" s="22"/>
      <c r="G47" s="22"/>
      <c r="H47" s="11" t="str">
        <f aca="false">IF(B47="","",G47-F47)</f>
        <v/>
      </c>
      <c r="I47" s="23" t="str">
        <f aca="false">IF(OR(B47="",G47=0),"",H47/G47)</f>
        <v/>
      </c>
      <c r="J47" s="21"/>
    </row>
    <row r="48" customFormat="false" ht="15" hidden="false" customHeight="false" outlineLevel="0" collapsed="false">
      <c r="A48" s="20"/>
      <c r="B48" s="20"/>
      <c r="C48" s="20"/>
      <c r="D48" s="20"/>
      <c r="E48" s="21"/>
      <c r="F48" s="22"/>
      <c r="G48" s="22"/>
      <c r="H48" s="11" t="str">
        <f aca="false">IF(B48="","",G48-F48)</f>
        <v/>
      </c>
      <c r="I48" s="23" t="str">
        <f aca="false">IF(OR(B48="",G48=0),"",H48/G48)</f>
        <v/>
      </c>
      <c r="J48" s="21"/>
    </row>
    <row r="49" customFormat="false" ht="15" hidden="false" customHeight="false" outlineLevel="0" collapsed="false">
      <c r="A49" s="20"/>
      <c r="B49" s="20"/>
      <c r="C49" s="20"/>
      <c r="D49" s="20"/>
      <c r="E49" s="21"/>
      <c r="F49" s="22"/>
      <c r="G49" s="22"/>
      <c r="H49" s="11" t="str">
        <f aca="false">IF(B49="","",G49-F49)</f>
        <v/>
      </c>
      <c r="I49" s="23" t="str">
        <f aca="false">IF(OR(B49="",G49=0),"",H49/G49)</f>
        <v/>
      </c>
      <c r="J49" s="21"/>
    </row>
    <row r="50" customFormat="false" ht="15" hidden="false" customHeight="false" outlineLevel="0" collapsed="false">
      <c r="A50" s="20"/>
      <c r="B50" s="20"/>
      <c r="C50" s="20"/>
      <c r="D50" s="20"/>
      <c r="E50" s="21"/>
      <c r="F50" s="22"/>
      <c r="G50" s="22"/>
      <c r="H50" s="11" t="str">
        <f aca="false">IF(B50="","",G50-F50)</f>
        <v/>
      </c>
      <c r="I50" s="23" t="str">
        <f aca="false">IF(OR(B50="",G50=0),"",H50/G50)</f>
        <v/>
      </c>
      <c r="J50" s="21"/>
    </row>
    <row r="51" customFormat="false" ht="15" hidden="false" customHeight="false" outlineLevel="0" collapsed="false">
      <c r="A51" s="20"/>
      <c r="B51" s="20"/>
      <c r="C51" s="20"/>
      <c r="D51" s="20"/>
      <c r="E51" s="21"/>
      <c r="F51" s="22"/>
      <c r="G51" s="22"/>
      <c r="H51" s="11" t="str">
        <f aca="false">IF(B51="","",G51-F51)</f>
        <v/>
      </c>
      <c r="I51" s="23" t="str">
        <f aca="false">IF(OR(B51="",G51=0),"",H51/G51)</f>
        <v/>
      </c>
      <c r="J51" s="21"/>
    </row>
    <row r="52" customFormat="false" ht="15" hidden="false" customHeight="false" outlineLevel="0" collapsed="false">
      <c r="A52" s="20"/>
      <c r="B52" s="20"/>
      <c r="C52" s="20"/>
      <c r="D52" s="20"/>
      <c r="E52" s="21"/>
      <c r="F52" s="22"/>
      <c r="G52" s="22"/>
      <c r="H52" s="11" t="str">
        <f aca="false">IF(B52="","",G52-F52)</f>
        <v/>
      </c>
      <c r="I52" s="23" t="str">
        <f aca="false">IF(OR(B52="",G52=0),"",H52/G52)</f>
        <v/>
      </c>
      <c r="J52" s="21"/>
    </row>
    <row r="53" customFormat="false" ht="15" hidden="false" customHeight="false" outlineLevel="0" collapsed="false">
      <c r="A53" s="20"/>
      <c r="B53" s="20"/>
      <c r="C53" s="20"/>
      <c r="D53" s="20"/>
      <c r="E53" s="21"/>
      <c r="F53" s="22"/>
      <c r="G53" s="22"/>
      <c r="H53" s="11" t="str">
        <f aca="false">IF(B53="","",G53-F53)</f>
        <v/>
      </c>
      <c r="I53" s="23" t="str">
        <f aca="false">IF(OR(B53="",G53=0),"",H53/G53)</f>
        <v/>
      </c>
      <c r="J53" s="21"/>
    </row>
    <row r="54" customFormat="false" ht="15" hidden="false" customHeight="false" outlineLevel="0" collapsed="false">
      <c r="A54" s="20"/>
      <c r="B54" s="20"/>
      <c r="C54" s="20"/>
      <c r="D54" s="20"/>
      <c r="E54" s="21"/>
      <c r="F54" s="22"/>
      <c r="G54" s="22"/>
      <c r="H54" s="11" t="str">
        <f aca="false">IF(B54="","",G54-F54)</f>
        <v/>
      </c>
      <c r="I54" s="23" t="str">
        <f aca="false">IF(OR(B54="",G54=0),"",H54/G54)</f>
        <v/>
      </c>
      <c r="J54" s="21"/>
    </row>
    <row r="55" customFormat="false" ht="15" hidden="false" customHeight="false" outlineLevel="0" collapsed="false">
      <c r="A55" s="20"/>
      <c r="B55" s="20"/>
      <c r="C55" s="20"/>
      <c r="D55" s="20"/>
      <c r="E55" s="21"/>
      <c r="F55" s="22"/>
      <c r="G55" s="22"/>
      <c r="H55" s="11" t="str">
        <f aca="false">IF(B55="","",G55-F55)</f>
        <v/>
      </c>
      <c r="I55" s="23" t="str">
        <f aca="false">IF(OR(B55="",G55=0),"",H55/G55)</f>
        <v/>
      </c>
      <c r="J55" s="21"/>
    </row>
    <row r="56" customFormat="false" ht="15" hidden="false" customHeight="false" outlineLevel="0" collapsed="false">
      <c r="A56" s="20"/>
      <c r="B56" s="20"/>
      <c r="C56" s="20"/>
      <c r="D56" s="20"/>
      <c r="E56" s="21"/>
      <c r="F56" s="22"/>
      <c r="G56" s="22"/>
      <c r="H56" s="11" t="str">
        <f aca="false">IF(B56="","",G56-F56)</f>
        <v/>
      </c>
      <c r="I56" s="23" t="str">
        <f aca="false">IF(OR(B56="",G56=0),"",H56/G56)</f>
        <v/>
      </c>
      <c r="J56" s="21"/>
    </row>
    <row r="57" customFormat="false" ht="15" hidden="false" customHeight="false" outlineLevel="0" collapsed="false">
      <c r="A57" s="20"/>
      <c r="B57" s="20"/>
      <c r="C57" s="20"/>
      <c r="D57" s="20"/>
      <c r="E57" s="21"/>
      <c r="F57" s="22"/>
      <c r="G57" s="22"/>
      <c r="H57" s="11" t="str">
        <f aca="false">IF(B57="","",G57-F57)</f>
        <v/>
      </c>
      <c r="I57" s="23" t="str">
        <f aca="false">IF(OR(B57="",G57=0),"",H57/G57)</f>
        <v/>
      </c>
      <c r="J57" s="21"/>
    </row>
    <row r="58" customFormat="false" ht="15" hidden="false" customHeight="false" outlineLevel="0" collapsed="false">
      <c r="A58" s="20"/>
      <c r="B58" s="20"/>
      <c r="C58" s="20"/>
      <c r="D58" s="20"/>
      <c r="E58" s="21"/>
      <c r="F58" s="22"/>
      <c r="G58" s="22"/>
      <c r="H58" s="11" t="str">
        <f aca="false">IF(B58="","",G58-F58)</f>
        <v/>
      </c>
      <c r="I58" s="23" t="str">
        <f aca="false">IF(OR(B58="",G58=0),"",H58/G58)</f>
        <v/>
      </c>
      <c r="J58" s="21"/>
    </row>
    <row r="59" customFormat="false" ht="15" hidden="false" customHeight="false" outlineLevel="0" collapsed="false">
      <c r="A59" s="20"/>
      <c r="B59" s="20"/>
      <c r="C59" s="20"/>
      <c r="D59" s="20"/>
      <c r="E59" s="21"/>
      <c r="F59" s="22"/>
      <c r="G59" s="22"/>
      <c r="H59" s="11" t="str">
        <f aca="false">IF(B59="","",G59-F59)</f>
        <v/>
      </c>
      <c r="I59" s="23" t="str">
        <f aca="false">IF(OR(B59="",G59=0),"",H59/G59)</f>
        <v/>
      </c>
      <c r="J59" s="21"/>
    </row>
    <row r="60" customFormat="false" ht="15" hidden="false" customHeight="false" outlineLevel="0" collapsed="false">
      <c r="A60" s="20"/>
      <c r="B60" s="20"/>
      <c r="C60" s="20"/>
      <c r="D60" s="20"/>
      <c r="E60" s="21"/>
      <c r="F60" s="22"/>
      <c r="G60" s="22"/>
      <c r="H60" s="11" t="str">
        <f aca="false">IF(B60="","",G60-F60)</f>
        <v/>
      </c>
      <c r="I60" s="23" t="str">
        <f aca="false">IF(OR(B60="",G60=0),"",H60/G60)</f>
        <v/>
      </c>
      <c r="J60" s="21"/>
    </row>
    <row r="61" customFormat="false" ht="15" hidden="false" customHeight="false" outlineLevel="0" collapsed="false">
      <c r="A61" s="20"/>
      <c r="B61" s="20"/>
      <c r="C61" s="20"/>
      <c r="D61" s="20"/>
      <c r="E61" s="21"/>
      <c r="F61" s="22"/>
      <c r="G61" s="22"/>
      <c r="H61" s="11" t="str">
        <f aca="false">IF(B61="","",G61-F61)</f>
        <v/>
      </c>
      <c r="I61" s="23" t="str">
        <f aca="false">IF(OR(B61="",G61=0),"",H61/G61)</f>
        <v/>
      </c>
      <c r="J61" s="21"/>
    </row>
    <row r="62" customFormat="false" ht="15" hidden="false" customHeight="false" outlineLevel="0" collapsed="false">
      <c r="A62" s="20"/>
      <c r="B62" s="20"/>
      <c r="C62" s="20"/>
      <c r="D62" s="20"/>
      <c r="E62" s="21"/>
      <c r="F62" s="22"/>
      <c r="G62" s="22"/>
      <c r="H62" s="11" t="str">
        <f aca="false">IF(B62="","",G62-F62)</f>
        <v/>
      </c>
      <c r="I62" s="23" t="str">
        <f aca="false">IF(OR(B62="",G62=0),"",H62/G62)</f>
        <v/>
      </c>
      <c r="J62" s="21"/>
    </row>
    <row r="63" customFormat="false" ht="15" hidden="false" customHeight="false" outlineLevel="0" collapsed="false">
      <c r="A63" s="20"/>
      <c r="B63" s="20"/>
      <c r="C63" s="20"/>
      <c r="D63" s="20"/>
      <c r="E63" s="21"/>
      <c r="F63" s="22"/>
      <c r="G63" s="22"/>
      <c r="H63" s="11" t="str">
        <f aca="false">IF(B63="","",G63-F63)</f>
        <v/>
      </c>
      <c r="I63" s="23" t="str">
        <f aca="false">IF(OR(B63="",G63=0),"",H63/G63)</f>
        <v/>
      </c>
      <c r="J63" s="21"/>
    </row>
    <row r="64" customFormat="false" ht="15" hidden="false" customHeight="false" outlineLevel="0" collapsed="false">
      <c r="A64" s="20"/>
      <c r="B64" s="20"/>
      <c r="C64" s="20"/>
      <c r="D64" s="20"/>
      <c r="E64" s="21"/>
      <c r="F64" s="22"/>
      <c r="G64" s="22"/>
      <c r="H64" s="11" t="str">
        <f aca="false">IF(B64="","",G64-F64)</f>
        <v/>
      </c>
      <c r="I64" s="23" t="str">
        <f aca="false">IF(OR(B64="",G64=0),"",H64/G64)</f>
        <v/>
      </c>
      <c r="J64" s="21"/>
    </row>
    <row r="65" customFormat="false" ht="15" hidden="false" customHeight="false" outlineLevel="0" collapsed="false">
      <c r="A65" s="20"/>
      <c r="B65" s="20"/>
      <c r="C65" s="20"/>
      <c r="D65" s="20"/>
      <c r="E65" s="21"/>
      <c r="F65" s="22"/>
      <c r="G65" s="22"/>
      <c r="H65" s="11" t="str">
        <f aca="false">IF(B65="","",G65-F65)</f>
        <v/>
      </c>
      <c r="I65" s="23" t="str">
        <f aca="false">IF(OR(B65="",G65=0),"",H65/G65)</f>
        <v/>
      </c>
      <c r="J65" s="21"/>
    </row>
    <row r="66" customFormat="false" ht="15" hidden="false" customHeight="false" outlineLevel="0" collapsed="false">
      <c r="A66" s="20"/>
      <c r="B66" s="20"/>
      <c r="C66" s="20"/>
      <c r="D66" s="20"/>
      <c r="E66" s="21"/>
      <c r="F66" s="22"/>
      <c r="G66" s="22"/>
      <c r="H66" s="11" t="str">
        <f aca="false">IF(B66="","",G66-F66)</f>
        <v/>
      </c>
      <c r="I66" s="23" t="str">
        <f aca="false">IF(OR(B66="",G66=0),"",H66/G66)</f>
        <v/>
      </c>
      <c r="J66" s="21"/>
    </row>
    <row r="67" customFormat="false" ht="15" hidden="false" customHeight="false" outlineLevel="0" collapsed="false">
      <c r="A67" s="20"/>
      <c r="B67" s="20"/>
      <c r="C67" s="20"/>
      <c r="D67" s="20"/>
      <c r="E67" s="21"/>
      <c r="F67" s="22"/>
      <c r="G67" s="22"/>
      <c r="H67" s="11" t="str">
        <f aca="false">IF(B67="","",G67-F67)</f>
        <v/>
      </c>
      <c r="I67" s="23" t="str">
        <f aca="false">IF(OR(B67="",G67=0),"",H67/G67)</f>
        <v/>
      </c>
      <c r="J67" s="21"/>
    </row>
    <row r="68" customFormat="false" ht="15" hidden="false" customHeight="false" outlineLevel="0" collapsed="false">
      <c r="A68" s="20"/>
      <c r="B68" s="20"/>
      <c r="C68" s="20"/>
      <c r="D68" s="20"/>
      <c r="E68" s="21"/>
      <c r="F68" s="22"/>
      <c r="G68" s="22"/>
      <c r="H68" s="11" t="str">
        <f aca="false">IF(B68="","",G68-F68)</f>
        <v/>
      </c>
      <c r="I68" s="23" t="str">
        <f aca="false">IF(OR(B68="",G68=0),"",H68/G68)</f>
        <v/>
      </c>
      <c r="J68" s="21"/>
    </row>
    <row r="69" customFormat="false" ht="15" hidden="false" customHeight="false" outlineLevel="0" collapsed="false">
      <c r="A69" s="20"/>
      <c r="B69" s="20"/>
      <c r="C69" s="20"/>
      <c r="D69" s="20"/>
      <c r="E69" s="21"/>
      <c r="F69" s="22"/>
      <c r="G69" s="22"/>
      <c r="H69" s="11" t="str">
        <f aca="false">IF(B69="","",G69-F69)</f>
        <v/>
      </c>
      <c r="I69" s="23" t="str">
        <f aca="false">IF(OR(B69="",G69=0),"",H69/G69)</f>
        <v/>
      </c>
      <c r="J69" s="21"/>
    </row>
    <row r="70" customFormat="false" ht="15" hidden="false" customHeight="false" outlineLevel="0" collapsed="false">
      <c r="A70" s="20"/>
      <c r="B70" s="20"/>
      <c r="C70" s="20"/>
      <c r="D70" s="20"/>
      <c r="E70" s="21"/>
      <c r="F70" s="22"/>
      <c r="G70" s="22"/>
      <c r="H70" s="11" t="str">
        <f aca="false">IF(B70="","",G70-F70)</f>
        <v/>
      </c>
      <c r="I70" s="23" t="str">
        <f aca="false">IF(OR(B70="",G70=0),"",H70/G70)</f>
        <v/>
      </c>
      <c r="J70" s="21"/>
    </row>
    <row r="71" customFormat="false" ht="15" hidden="false" customHeight="false" outlineLevel="0" collapsed="false">
      <c r="A71" s="20"/>
      <c r="B71" s="20"/>
      <c r="C71" s="20"/>
      <c r="D71" s="20"/>
      <c r="E71" s="21"/>
      <c r="F71" s="22"/>
      <c r="G71" s="22"/>
      <c r="H71" s="11" t="str">
        <f aca="false">IF(B71="","",G71-F71)</f>
        <v/>
      </c>
      <c r="I71" s="23" t="str">
        <f aca="false">IF(OR(B71="",G71=0),"",H71/G71)</f>
        <v/>
      </c>
      <c r="J71" s="21"/>
    </row>
    <row r="72" customFormat="false" ht="15" hidden="false" customHeight="false" outlineLevel="0" collapsed="false">
      <c r="A72" s="20"/>
      <c r="B72" s="20"/>
      <c r="C72" s="20"/>
      <c r="D72" s="20"/>
      <c r="E72" s="21"/>
      <c r="F72" s="22"/>
      <c r="G72" s="22"/>
      <c r="H72" s="11" t="str">
        <f aca="false">IF(B72="","",G72-F72)</f>
        <v/>
      </c>
      <c r="I72" s="23" t="str">
        <f aca="false">IF(OR(B72="",G72=0),"",H72/G72)</f>
        <v/>
      </c>
      <c r="J72" s="21"/>
    </row>
    <row r="73" customFormat="false" ht="15" hidden="false" customHeight="false" outlineLevel="0" collapsed="false">
      <c r="A73" s="20"/>
      <c r="B73" s="20"/>
      <c r="C73" s="20"/>
      <c r="D73" s="20"/>
      <c r="E73" s="21"/>
      <c r="F73" s="22"/>
      <c r="G73" s="22"/>
      <c r="H73" s="11" t="str">
        <f aca="false">IF(B73="","",G73-F73)</f>
        <v/>
      </c>
      <c r="I73" s="23" t="str">
        <f aca="false">IF(OR(B73="",G73=0),"",H73/G73)</f>
        <v/>
      </c>
      <c r="J73" s="21"/>
    </row>
    <row r="74" customFormat="false" ht="15" hidden="false" customHeight="false" outlineLevel="0" collapsed="false">
      <c r="A74" s="20"/>
      <c r="B74" s="20"/>
      <c r="C74" s="20"/>
      <c r="D74" s="20"/>
      <c r="E74" s="21"/>
      <c r="F74" s="22"/>
      <c r="G74" s="22"/>
      <c r="H74" s="11" t="str">
        <f aca="false">IF(B74="","",G74-F74)</f>
        <v/>
      </c>
      <c r="I74" s="23" t="str">
        <f aca="false">IF(OR(B74="",G74=0),"",H74/G74)</f>
        <v/>
      </c>
      <c r="J74" s="21"/>
    </row>
    <row r="75" customFormat="false" ht="15" hidden="false" customHeight="false" outlineLevel="0" collapsed="false">
      <c r="A75" s="20"/>
      <c r="B75" s="20"/>
      <c r="C75" s="20"/>
      <c r="D75" s="20"/>
      <c r="E75" s="21"/>
      <c r="F75" s="22"/>
      <c r="G75" s="22"/>
      <c r="H75" s="11" t="str">
        <f aca="false">IF(B75="","",G75-F75)</f>
        <v/>
      </c>
      <c r="I75" s="23" t="str">
        <f aca="false">IF(OR(B75="",G75=0),"",H75/G75)</f>
        <v/>
      </c>
      <c r="J75" s="21"/>
    </row>
    <row r="76" customFormat="false" ht="15" hidden="false" customHeight="false" outlineLevel="0" collapsed="false">
      <c r="A76" s="20"/>
      <c r="B76" s="20"/>
      <c r="C76" s="20"/>
      <c r="D76" s="20"/>
      <c r="E76" s="21"/>
      <c r="F76" s="22"/>
      <c r="G76" s="22"/>
      <c r="H76" s="11" t="str">
        <f aca="false">IF(B76="","",G76-F76)</f>
        <v/>
      </c>
      <c r="I76" s="23" t="str">
        <f aca="false">IF(OR(B76="",G76=0),"",H76/G76)</f>
        <v/>
      </c>
      <c r="J76" s="21"/>
    </row>
    <row r="77" customFormat="false" ht="15" hidden="false" customHeight="false" outlineLevel="0" collapsed="false">
      <c r="A77" s="20"/>
      <c r="B77" s="20"/>
      <c r="C77" s="20"/>
      <c r="D77" s="20"/>
      <c r="E77" s="21"/>
      <c r="F77" s="22"/>
      <c r="G77" s="22"/>
      <c r="H77" s="11" t="str">
        <f aca="false">IF(B77="","",G77-F77)</f>
        <v/>
      </c>
      <c r="I77" s="23" t="str">
        <f aca="false">IF(OR(B77="",G77=0),"",H77/G77)</f>
        <v/>
      </c>
      <c r="J77" s="21"/>
    </row>
    <row r="78" customFormat="false" ht="15" hidden="false" customHeight="false" outlineLevel="0" collapsed="false">
      <c r="A78" s="20"/>
      <c r="B78" s="20"/>
      <c r="C78" s="20"/>
      <c r="D78" s="20"/>
      <c r="E78" s="21"/>
      <c r="F78" s="22"/>
      <c r="G78" s="22"/>
      <c r="H78" s="11" t="str">
        <f aca="false">IF(B78="","",G78-F78)</f>
        <v/>
      </c>
      <c r="I78" s="23" t="str">
        <f aca="false">IF(OR(B78="",G78=0),"",H78/G78)</f>
        <v/>
      </c>
      <c r="J78" s="21"/>
    </row>
    <row r="79" customFormat="false" ht="15" hidden="false" customHeight="false" outlineLevel="0" collapsed="false">
      <c r="A79" s="20"/>
      <c r="B79" s="20"/>
      <c r="C79" s="20"/>
      <c r="D79" s="20"/>
      <c r="E79" s="21"/>
      <c r="F79" s="22"/>
      <c r="G79" s="22"/>
      <c r="H79" s="11" t="str">
        <f aca="false">IF(B79="","",G79-F79)</f>
        <v/>
      </c>
      <c r="I79" s="23" t="str">
        <f aca="false">IF(OR(B79="",G79=0),"",H79/G79)</f>
        <v/>
      </c>
      <c r="J79" s="21"/>
    </row>
    <row r="80" customFormat="false" ht="15" hidden="false" customHeight="false" outlineLevel="0" collapsed="false">
      <c r="A80" s="20"/>
      <c r="B80" s="20"/>
      <c r="C80" s="20"/>
      <c r="D80" s="20"/>
      <c r="E80" s="21"/>
      <c r="F80" s="22"/>
      <c r="G80" s="22"/>
      <c r="H80" s="11" t="str">
        <f aca="false">IF(B80="","",G80-F80)</f>
        <v/>
      </c>
      <c r="I80" s="23" t="str">
        <f aca="false">IF(OR(B80="",G80=0),"",H80/G80)</f>
        <v/>
      </c>
      <c r="J80" s="21"/>
    </row>
    <row r="81" customFormat="false" ht="15" hidden="false" customHeight="false" outlineLevel="0" collapsed="false">
      <c r="A81" s="20"/>
      <c r="B81" s="20"/>
      <c r="C81" s="20"/>
      <c r="D81" s="20"/>
      <c r="E81" s="21"/>
      <c r="F81" s="22"/>
      <c r="G81" s="22"/>
      <c r="H81" s="11" t="str">
        <f aca="false">IF(B81="","",G81-F81)</f>
        <v/>
      </c>
      <c r="I81" s="23" t="str">
        <f aca="false">IF(OR(B81="",G81=0),"",H81/G81)</f>
        <v/>
      </c>
      <c r="J81" s="21"/>
    </row>
    <row r="82" customFormat="false" ht="15" hidden="false" customHeight="false" outlineLevel="0" collapsed="false">
      <c r="A82" s="20"/>
      <c r="B82" s="20"/>
      <c r="C82" s="20"/>
      <c r="D82" s="20"/>
      <c r="E82" s="21"/>
      <c r="F82" s="22"/>
      <c r="G82" s="22"/>
      <c r="H82" s="11" t="str">
        <f aca="false">IF(B82="","",G82-F82)</f>
        <v/>
      </c>
      <c r="I82" s="23" t="str">
        <f aca="false">IF(OR(B82="",G82=0),"",H82/G82)</f>
        <v/>
      </c>
      <c r="J82" s="21"/>
    </row>
    <row r="83" customFormat="false" ht="15" hidden="false" customHeight="false" outlineLevel="0" collapsed="false">
      <c r="A83" s="20"/>
      <c r="B83" s="20"/>
      <c r="C83" s="20"/>
      <c r="D83" s="20"/>
      <c r="E83" s="21"/>
      <c r="F83" s="22"/>
      <c r="G83" s="22"/>
      <c r="H83" s="11" t="str">
        <f aca="false">IF(B83="","",G83-F83)</f>
        <v/>
      </c>
      <c r="I83" s="23" t="str">
        <f aca="false">IF(OR(B83="",G83=0),"",H83/G83)</f>
        <v/>
      </c>
      <c r="J83" s="21"/>
    </row>
    <row r="84" customFormat="false" ht="15" hidden="false" customHeight="false" outlineLevel="0" collapsed="false">
      <c r="A84" s="20"/>
      <c r="B84" s="20"/>
      <c r="C84" s="20"/>
      <c r="D84" s="20"/>
      <c r="E84" s="21"/>
      <c r="F84" s="22"/>
      <c r="G84" s="22"/>
      <c r="H84" s="11" t="str">
        <f aca="false">IF(B84="","",G84-F84)</f>
        <v/>
      </c>
      <c r="I84" s="23" t="str">
        <f aca="false">IF(OR(B84="",G84=0),"",H84/G84)</f>
        <v/>
      </c>
      <c r="J84" s="21"/>
    </row>
    <row r="85" customFormat="false" ht="15" hidden="false" customHeight="false" outlineLevel="0" collapsed="false">
      <c r="A85" s="20"/>
      <c r="B85" s="20"/>
      <c r="C85" s="20"/>
      <c r="D85" s="20"/>
      <c r="E85" s="21"/>
      <c r="F85" s="22"/>
      <c r="G85" s="22"/>
      <c r="H85" s="11" t="str">
        <f aca="false">IF(B85="","",G85-F85)</f>
        <v/>
      </c>
      <c r="I85" s="23" t="str">
        <f aca="false">IF(OR(B85="",G85=0),"",H85/G85)</f>
        <v/>
      </c>
      <c r="J85" s="21"/>
    </row>
    <row r="86" customFormat="false" ht="15" hidden="false" customHeight="false" outlineLevel="0" collapsed="false">
      <c r="A86" s="20"/>
      <c r="B86" s="20"/>
      <c r="C86" s="20"/>
      <c r="D86" s="20"/>
      <c r="E86" s="21"/>
      <c r="F86" s="22"/>
      <c r="G86" s="22"/>
      <c r="H86" s="11" t="str">
        <f aca="false">IF(B86="","",G86-F86)</f>
        <v/>
      </c>
      <c r="I86" s="23" t="str">
        <f aca="false">IF(OR(B86="",G86=0),"",H86/G86)</f>
        <v/>
      </c>
      <c r="J86" s="21"/>
    </row>
    <row r="87" customFormat="false" ht="15" hidden="false" customHeight="false" outlineLevel="0" collapsed="false">
      <c r="A87" s="20"/>
      <c r="B87" s="20"/>
      <c r="C87" s="20"/>
      <c r="D87" s="20"/>
      <c r="E87" s="21"/>
      <c r="F87" s="22"/>
      <c r="G87" s="22"/>
      <c r="H87" s="11" t="str">
        <f aca="false">IF(B87="","",G87-F87)</f>
        <v/>
      </c>
      <c r="I87" s="23" t="str">
        <f aca="false">IF(OR(B87="",G87=0),"",H87/G87)</f>
        <v/>
      </c>
      <c r="J87" s="21"/>
    </row>
    <row r="88" customFormat="false" ht="15" hidden="false" customHeight="false" outlineLevel="0" collapsed="false">
      <c r="A88" s="20"/>
      <c r="B88" s="20"/>
      <c r="C88" s="20"/>
      <c r="D88" s="20"/>
      <c r="E88" s="21"/>
      <c r="F88" s="22"/>
      <c r="G88" s="22"/>
      <c r="H88" s="11" t="str">
        <f aca="false">IF(B88="","",G88-F88)</f>
        <v/>
      </c>
      <c r="I88" s="23" t="str">
        <f aca="false">IF(OR(B88="",G88=0),"",H88/G88)</f>
        <v/>
      </c>
      <c r="J88" s="21"/>
    </row>
    <row r="89" customFormat="false" ht="15" hidden="false" customHeight="false" outlineLevel="0" collapsed="false">
      <c r="A89" s="20"/>
      <c r="B89" s="20"/>
      <c r="C89" s="20"/>
      <c r="D89" s="20"/>
      <c r="E89" s="21"/>
      <c r="F89" s="22"/>
      <c r="G89" s="22"/>
      <c r="H89" s="11" t="str">
        <f aca="false">IF(B89="","",G89-F89)</f>
        <v/>
      </c>
      <c r="I89" s="23" t="str">
        <f aca="false">IF(OR(B89="",G89=0),"",H89/G89)</f>
        <v/>
      </c>
      <c r="J89" s="21"/>
    </row>
    <row r="90" customFormat="false" ht="15" hidden="false" customHeight="false" outlineLevel="0" collapsed="false">
      <c r="A90" s="20"/>
      <c r="B90" s="20"/>
      <c r="C90" s="20"/>
      <c r="D90" s="20"/>
      <c r="E90" s="21"/>
      <c r="F90" s="22"/>
      <c r="G90" s="22"/>
      <c r="H90" s="11" t="str">
        <f aca="false">IF(B90="","",G90-F90)</f>
        <v/>
      </c>
      <c r="I90" s="23" t="str">
        <f aca="false">IF(OR(B90="",G90=0),"",H90/G90)</f>
        <v/>
      </c>
      <c r="J90" s="21"/>
    </row>
    <row r="91" customFormat="false" ht="15" hidden="false" customHeight="false" outlineLevel="0" collapsed="false">
      <c r="A91" s="20"/>
      <c r="B91" s="20"/>
      <c r="C91" s="20"/>
      <c r="D91" s="20"/>
      <c r="E91" s="21"/>
      <c r="F91" s="22"/>
      <c r="G91" s="22"/>
      <c r="H91" s="11" t="str">
        <f aca="false">IF(B91="","",G91-F91)</f>
        <v/>
      </c>
      <c r="I91" s="23" t="str">
        <f aca="false">IF(OR(B91="",G91=0),"",H91/G91)</f>
        <v/>
      </c>
      <c r="J91" s="21"/>
    </row>
    <row r="92" customFormat="false" ht="15" hidden="false" customHeight="false" outlineLevel="0" collapsed="false">
      <c r="A92" s="20"/>
      <c r="B92" s="20"/>
      <c r="C92" s="20"/>
      <c r="D92" s="20"/>
      <c r="E92" s="21"/>
      <c r="F92" s="22"/>
      <c r="G92" s="22"/>
      <c r="H92" s="11" t="str">
        <f aca="false">IF(B92="","",G92-F92)</f>
        <v/>
      </c>
      <c r="I92" s="23" t="str">
        <f aca="false">IF(OR(B92="",G92=0),"",H92/G92)</f>
        <v/>
      </c>
      <c r="J92" s="21"/>
    </row>
    <row r="93" customFormat="false" ht="15" hidden="false" customHeight="false" outlineLevel="0" collapsed="false">
      <c r="A93" s="20"/>
      <c r="B93" s="20"/>
      <c r="C93" s="20"/>
      <c r="D93" s="20"/>
      <c r="E93" s="21"/>
      <c r="F93" s="22"/>
      <c r="G93" s="22"/>
      <c r="H93" s="11" t="str">
        <f aca="false">IF(B93="","",G93-F93)</f>
        <v/>
      </c>
      <c r="I93" s="23" t="str">
        <f aca="false">IF(OR(B93="",G93=0),"",H93/G93)</f>
        <v/>
      </c>
      <c r="J93" s="21"/>
    </row>
    <row r="94" customFormat="false" ht="15" hidden="false" customHeight="false" outlineLevel="0" collapsed="false">
      <c r="A94" s="20"/>
      <c r="B94" s="20"/>
      <c r="C94" s="20"/>
      <c r="D94" s="20"/>
      <c r="E94" s="21"/>
      <c r="F94" s="22"/>
      <c r="G94" s="22"/>
      <c r="H94" s="11" t="str">
        <f aca="false">IF(B94="","",G94-F94)</f>
        <v/>
      </c>
      <c r="I94" s="23" t="str">
        <f aca="false">IF(OR(B94="",G94=0),"",H94/G94)</f>
        <v/>
      </c>
      <c r="J94" s="21"/>
    </row>
    <row r="95" customFormat="false" ht="15" hidden="false" customHeight="false" outlineLevel="0" collapsed="false">
      <c r="A95" s="20"/>
      <c r="B95" s="20"/>
      <c r="C95" s="20"/>
      <c r="D95" s="20"/>
      <c r="E95" s="21"/>
      <c r="F95" s="22"/>
      <c r="G95" s="22"/>
      <c r="H95" s="11" t="str">
        <f aca="false">IF(B95="","",G95-F95)</f>
        <v/>
      </c>
      <c r="I95" s="23" t="str">
        <f aca="false">IF(OR(B95="",G95=0),"",H95/G95)</f>
        <v/>
      </c>
      <c r="J95" s="21"/>
    </row>
    <row r="96" customFormat="false" ht="15" hidden="false" customHeight="false" outlineLevel="0" collapsed="false">
      <c r="A96" s="20"/>
      <c r="B96" s="20"/>
      <c r="C96" s="20"/>
      <c r="D96" s="20"/>
      <c r="E96" s="21"/>
      <c r="F96" s="22"/>
      <c r="G96" s="22"/>
      <c r="H96" s="11" t="str">
        <f aca="false">IF(B96="","",G96-F96)</f>
        <v/>
      </c>
      <c r="I96" s="23" t="str">
        <f aca="false">IF(OR(B96="",G96=0),"",H96/G96)</f>
        <v/>
      </c>
      <c r="J96" s="21"/>
    </row>
    <row r="97" customFormat="false" ht="15" hidden="false" customHeight="false" outlineLevel="0" collapsed="false">
      <c r="A97" s="20"/>
      <c r="B97" s="20"/>
      <c r="C97" s="20"/>
      <c r="D97" s="20"/>
      <c r="E97" s="21"/>
      <c r="F97" s="22"/>
      <c r="G97" s="22"/>
      <c r="H97" s="11" t="str">
        <f aca="false">IF(B97="","",G97-F97)</f>
        <v/>
      </c>
      <c r="I97" s="23" t="str">
        <f aca="false">IF(OR(B97="",G97=0),"",H97/G97)</f>
        <v/>
      </c>
      <c r="J97" s="21"/>
    </row>
    <row r="98" customFormat="false" ht="15" hidden="false" customHeight="false" outlineLevel="0" collapsed="false">
      <c r="A98" s="20"/>
      <c r="B98" s="20"/>
      <c r="C98" s="20"/>
      <c r="D98" s="20"/>
      <c r="E98" s="21"/>
      <c r="F98" s="22"/>
      <c r="G98" s="22"/>
      <c r="H98" s="11" t="str">
        <f aca="false">IF(B98="","",G98-F98)</f>
        <v/>
      </c>
      <c r="I98" s="23" t="str">
        <f aca="false">IF(OR(B98="",G98=0),"",H98/G98)</f>
        <v/>
      </c>
      <c r="J98" s="21"/>
    </row>
    <row r="99" customFormat="false" ht="15" hidden="false" customHeight="false" outlineLevel="0" collapsed="false">
      <c r="A99" s="20"/>
      <c r="B99" s="20"/>
      <c r="C99" s="20"/>
      <c r="D99" s="20"/>
      <c r="E99" s="21"/>
      <c r="F99" s="22"/>
      <c r="G99" s="22"/>
      <c r="H99" s="11" t="str">
        <f aca="false">IF(B99="","",G99-F99)</f>
        <v/>
      </c>
      <c r="I99" s="23" t="str">
        <f aca="false">IF(OR(B99="",G99=0),"",H99/G99)</f>
        <v/>
      </c>
      <c r="J99" s="21"/>
    </row>
    <row r="100" customFormat="false" ht="15" hidden="false" customHeight="false" outlineLevel="0" collapsed="false">
      <c r="A100" s="20"/>
      <c r="B100" s="20"/>
      <c r="C100" s="20"/>
      <c r="D100" s="20"/>
      <c r="E100" s="21"/>
      <c r="F100" s="22"/>
      <c r="G100" s="22"/>
      <c r="H100" s="11" t="str">
        <f aca="false">IF(B100="","",G100-F100)</f>
        <v/>
      </c>
      <c r="I100" s="23" t="str">
        <f aca="false">IF(OR(B100="",G100=0),"",H100/G100)</f>
        <v/>
      </c>
      <c r="J100" s="21"/>
    </row>
    <row r="101" customFormat="false" ht="15" hidden="false" customHeight="false" outlineLevel="0" collapsed="false">
      <c r="A101" s="20"/>
      <c r="B101" s="20"/>
      <c r="C101" s="20"/>
      <c r="D101" s="20"/>
      <c r="E101" s="21"/>
      <c r="F101" s="22"/>
      <c r="G101" s="22"/>
      <c r="H101" s="11" t="str">
        <f aca="false">IF(B101="","",G101-F101)</f>
        <v/>
      </c>
      <c r="I101" s="23" t="str">
        <f aca="false">IF(OR(B101="",G101=0),"",H101/G101)</f>
        <v/>
      </c>
      <c r="J101" s="21"/>
    </row>
    <row r="102" customFormat="false" ht="15" hidden="false" customHeight="false" outlineLevel="0" collapsed="false">
      <c r="A102" s="20"/>
      <c r="B102" s="20"/>
      <c r="C102" s="20"/>
      <c r="D102" s="20"/>
      <c r="E102" s="21"/>
      <c r="F102" s="22"/>
      <c r="G102" s="22"/>
      <c r="H102" s="11" t="str">
        <f aca="false">IF(B102="","",G102-F102)</f>
        <v/>
      </c>
      <c r="I102" s="23" t="str">
        <f aca="false">IF(OR(B102="",G102=0),"",H102/G102)</f>
        <v/>
      </c>
      <c r="J102" s="21"/>
    </row>
    <row r="103" customFormat="false" ht="15" hidden="false" customHeight="false" outlineLevel="0" collapsed="false">
      <c r="A103" s="20"/>
      <c r="B103" s="20"/>
      <c r="C103" s="20"/>
      <c r="D103" s="20"/>
      <c r="E103" s="21"/>
      <c r="F103" s="22"/>
      <c r="G103" s="22"/>
      <c r="H103" s="11" t="str">
        <f aca="false">IF(B103="","",G103-F103)</f>
        <v/>
      </c>
      <c r="I103" s="23" t="str">
        <f aca="false">IF(OR(B103="",G103=0),"",H103/G103)</f>
        <v/>
      </c>
      <c r="J103" s="21"/>
    </row>
    <row r="104" customFormat="false" ht="15" hidden="false" customHeight="false" outlineLevel="0" collapsed="false">
      <c r="A104" s="20"/>
      <c r="B104" s="20"/>
      <c r="C104" s="20"/>
      <c r="D104" s="20"/>
      <c r="E104" s="21"/>
      <c r="F104" s="22"/>
      <c r="G104" s="22"/>
      <c r="H104" s="11" t="str">
        <f aca="false">IF(B104="","",G104-F104)</f>
        <v/>
      </c>
      <c r="I104" s="23" t="str">
        <f aca="false">IF(OR(B104="",G104=0),"",H104/G104)</f>
        <v/>
      </c>
      <c r="J104" s="21"/>
    </row>
  </sheetData>
  <dataValidations count="1">
    <dataValidation allowBlank="true" errorStyle="stop" operator="between" showDropDown="false" showErrorMessage="false" showInputMessage="false" sqref="C5:C104" type="list">
      <formula1>Config!$D$4:$D$11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8" min="7" style="0" width="16"/>
    <col collapsed="false" customWidth="true" hidden="false" outlineLevel="0" max="10" min="9" style="0" width="13"/>
    <col collapsed="false" customWidth="true" hidden="false" outlineLevel="0" max="12" min="11" style="0" width="16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5" t="s">
        <v>101</v>
      </c>
    </row>
    <row r="3" customFormat="false" ht="15" hidden="false" customHeight="false" outlineLevel="0" collapsed="false">
      <c r="A3" s="9" t="s">
        <v>102</v>
      </c>
      <c r="B3" s="9"/>
      <c r="C3" s="9"/>
      <c r="D3" s="13" t="n">
        <f aca="false">SUM(D5:D104)</f>
        <v>452</v>
      </c>
      <c r="E3" s="13" t="n">
        <f aca="false">SUM(E5:E104)</f>
        <v>277</v>
      </c>
      <c r="F3" s="13" t="n">
        <f aca="false">SUM(F5:F104)</f>
        <v>124</v>
      </c>
      <c r="G3" s="13" t="n">
        <f aca="false">SUM(G5:G104)</f>
        <v>605</v>
      </c>
      <c r="H3" s="9"/>
      <c r="I3" s="9" t="str">
        <f aca="false">COUNTIF(I5:I104,"REPONER")+COUNTIF(I5:I104,"AGOTADO")&amp;" a reponer"</f>
        <v>1 a reponer</v>
      </c>
      <c r="J3" s="9"/>
      <c r="K3" s="14" t="n">
        <f aca="false">SUM(K5:K104)</f>
        <v>814.15</v>
      </c>
      <c r="L3" s="14" t="n">
        <f aca="false">SUM(L5:L104)</f>
        <v>1377.9</v>
      </c>
    </row>
    <row r="4" customFormat="false" ht="57.75" hidden="false" customHeight="true" outlineLevel="0" collapsed="false">
      <c r="A4" s="19" t="s">
        <v>55</v>
      </c>
      <c r="B4" s="19" t="s">
        <v>56</v>
      </c>
      <c r="C4" s="19" t="s">
        <v>34</v>
      </c>
      <c r="D4" s="19" t="s">
        <v>58</v>
      </c>
      <c r="E4" s="19" t="s">
        <v>103</v>
      </c>
      <c r="F4" s="19" t="s">
        <v>104</v>
      </c>
      <c r="G4" s="19" t="s">
        <v>105</v>
      </c>
      <c r="H4" s="19" t="s">
        <v>63</v>
      </c>
      <c r="I4" s="19" t="s">
        <v>106</v>
      </c>
      <c r="J4" s="19" t="s">
        <v>59</v>
      </c>
      <c r="K4" s="19" t="s">
        <v>36</v>
      </c>
      <c r="L4" s="19" t="s">
        <v>107</v>
      </c>
    </row>
    <row r="5" customFormat="false" ht="15" hidden="false" customHeight="false" outlineLevel="0" collapsed="false">
      <c r="A5" s="7" t="str">
        <f aca="false">IF(Productos!B5="","",Productos!A5)</f>
        <v>P001</v>
      </c>
      <c r="B5" s="7" t="str">
        <f aca="false">IF(Productos!B5="","",Productos!B5)</f>
        <v>Arroz 1 kg</v>
      </c>
      <c r="C5" s="7" t="str">
        <f aca="false">IF(B5="","",Productos!C5)</f>
        <v>Alimentos</v>
      </c>
      <c r="D5" s="10" t="n">
        <f aca="false">IF(B5="","",N(Productos!E5))</f>
        <v>50</v>
      </c>
      <c r="E5" s="10" t="n">
        <f aca="false">IF(B5="","",SUMIFS(Compras!$E$5:$E$304,Compras!$B$5:$B$304,B5))</f>
        <v>40</v>
      </c>
      <c r="F5" s="10" t="n">
        <f aca="false">IF(B5="","",SUMIFS(Ventas!$F$5:$F$504,Ventas!$C$5:$C$504,B5))</f>
        <v>13</v>
      </c>
      <c r="G5" s="16" t="n">
        <f aca="false">IF(B5="","",D5+E5-F5)</f>
        <v>77</v>
      </c>
      <c r="H5" s="10" t="n">
        <f aca="false">IF(B5="","",N(Productos!J5))</f>
        <v>15</v>
      </c>
      <c r="I5" s="24" t="str">
        <f aca="false">IF(B5="","",IF(G5&lt;=0,"AGOTADO",IF(G5&lt;=H5,"REPONER","OK")))</f>
        <v>OK</v>
      </c>
      <c r="J5" s="11" t="n">
        <f aca="false">IF(B5="","",N(Productos!F5))</f>
        <v>0.9</v>
      </c>
      <c r="K5" s="11" t="n">
        <f aca="false">IF(B5="","",G5*J5)</f>
        <v>69.3</v>
      </c>
      <c r="L5" s="11" t="n">
        <f aca="false">IF(B5="","",G5*N(Productos!G5))</f>
        <v>115.5</v>
      </c>
    </row>
    <row r="6" customFormat="false" ht="15" hidden="false" customHeight="false" outlineLevel="0" collapsed="false">
      <c r="A6" s="7" t="str">
        <f aca="false">IF(Productos!B6="","",Productos!A6)</f>
        <v>P002</v>
      </c>
      <c r="B6" s="7" t="str">
        <f aca="false">IF(Productos!B6="","",Productos!B6)</f>
        <v>Aceite de oliva 1 L</v>
      </c>
      <c r="C6" s="7" t="str">
        <f aca="false">IF(B6="","",Productos!C6)</f>
        <v>Alimentos</v>
      </c>
      <c r="D6" s="10" t="n">
        <f aca="false">IF(B6="","",N(Productos!E6))</f>
        <v>30</v>
      </c>
      <c r="E6" s="10" t="n">
        <f aca="false">IF(B6="","",SUMIFS(Compras!$E$5:$E$304,Compras!$B$5:$B$304,B6))</f>
        <v>20</v>
      </c>
      <c r="F6" s="10" t="n">
        <f aca="false">IF(B6="","",SUMIFS(Ventas!$F$5:$F$504,Ventas!$C$5:$C$504,B6))</f>
        <v>5</v>
      </c>
      <c r="G6" s="16" t="n">
        <f aca="false">IF(B6="","",D6+E6-F6)</f>
        <v>45</v>
      </c>
      <c r="H6" s="10" t="n">
        <f aca="false">IF(B6="","",N(Productos!J6))</f>
        <v>10</v>
      </c>
      <c r="I6" s="24" t="str">
        <f aca="false">IF(B6="","",IF(G6&lt;=0,"AGOTADO",IF(G6&lt;=H6,"REPONER","OK")))</f>
        <v>OK</v>
      </c>
      <c r="J6" s="11" t="n">
        <f aca="false">IF(B6="","",N(Productos!F6))</f>
        <v>4.5</v>
      </c>
      <c r="K6" s="11" t="n">
        <f aca="false">IF(B6="","",G6*J6)</f>
        <v>202.5</v>
      </c>
      <c r="L6" s="11" t="n">
        <f aca="false">IF(B6="","",G6*N(Productos!G6))</f>
        <v>310.5</v>
      </c>
    </row>
    <row r="7" customFormat="false" ht="15" hidden="false" customHeight="false" outlineLevel="0" collapsed="false">
      <c r="A7" s="7" t="str">
        <f aca="false">IF(Productos!B7="","",Productos!A7)</f>
        <v>P003</v>
      </c>
      <c r="B7" s="7" t="str">
        <f aca="false">IF(Productos!B7="","",Productos!B7)</f>
        <v>Leche entera 1 L</v>
      </c>
      <c r="C7" s="7" t="str">
        <f aca="false">IF(B7="","",Productos!C7)</f>
        <v>Lácteos</v>
      </c>
      <c r="D7" s="10" t="n">
        <f aca="false">IF(B7="","",N(Productos!E7))</f>
        <v>60</v>
      </c>
      <c r="E7" s="10" t="n">
        <f aca="false">IF(B7="","",SUMIFS(Compras!$E$5:$E$304,Compras!$B$5:$B$304,B7))</f>
        <v>60</v>
      </c>
      <c r="F7" s="10" t="n">
        <f aca="false">IF(B7="","",SUMIFS(Ventas!$F$5:$F$504,Ventas!$C$5:$C$504,B7))</f>
        <v>31</v>
      </c>
      <c r="G7" s="16" t="n">
        <f aca="false">IF(B7="","",D7+E7-F7)</f>
        <v>89</v>
      </c>
      <c r="H7" s="10" t="n">
        <f aca="false">IF(B7="","",N(Productos!J7))</f>
        <v>20</v>
      </c>
      <c r="I7" s="24" t="str">
        <f aca="false">IF(B7="","",IF(G7&lt;=0,"AGOTADO",IF(G7&lt;=H7,"REPONER","OK")))</f>
        <v>OK</v>
      </c>
      <c r="J7" s="11" t="n">
        <f aca="false">IF(B7="","",N(Productos!F7))</f>
        <v>0.65</v>
      </c>
      <c r="K7" s="11" t="n">
        <f aca="false">IF(B7="","",G7*J7)</f>
        <v>57.85</v>
      </c>
      <c r="L7" s="11" t="n">
        <f aca="false">IF(B7="","",G7*N(Productos!G7))</f>
        <v>93.45</v>
      </c>
    </row>
    <row r="8" customFormat="false" ht="15" hidden="false" customHeight="false" outlineLevel="0" collapsed="false">
      <c r="A8" s="7" t="str">
        <f aca="false">IF(Productos!B8="","",Productos!A8)</f>
        <v>P004</v>
      </c>
      <c r="B8" s="7" t="str">
        <f aca="false">IF(Productos!B8="","",Productos!B8)</f>
        <v>Yogur natural (pack 4)</v>
      </c>
      <c r="C8" s="7" t="str">
        <f aca="false">IF(B8="","",Productos!C8)</f>
        <v>Lácteos</v>
      </c>
      <c r="D8" s="10" t="n">
        <f aca="false">IF(B8="","",N(Productos!E8))</f>
        <v>40</v>
      </c>
      <c r="E8" s="10" t="n">
        <f aca="false">IF(B8="","",SUMIFS(Compras!$E$5:$E$304,Compras!$B$5:$B$304,B8))</f>
        <v>0</v>
      </c>
      <c r="F8" s="10" t="n">
        <f aca="false">IF(B8="","",SUMIFS(Ventas!$F$5:$F$504,Ventas!$C$5:$C$504,B8))</f>
        <v>8</v>
      </c>
      <c r="G8" s="16" t="n">
        <f aca="false">IF(B8="","",D8+E8-F8)</f>
        <v>32</v>
      </c>
      <c r="H8" s="10" t="n">
        <f aca="false">IF(B8="","",N(Productos!J8))</f>
        <v>12</v>
      </c>
      <c r="I8" s="24" t="str">
        <f aca="false">IF(B8="","",IF(G8&lt;=0,"AGOTADO",IF(G8&lt;=H8,"REPONER","OK")))</f>
        <v>OK</v>
      </c>
      <c r="J8" s="11" t="n">
        <f aca="false">IF(B8="","",N(Productos!F8))</f>
        <v>1.1</v>
      </c>
      <c r="K8" s="11" t="n">
        <f aca="false">IF(B8="","",G8*J8)</f>
        <v>35.2</v>
      </c>
      <c r="L8" s="11" t="n">
        <f aca="false">IF(B8="","",G8*N(Productos!G8))</f>
        <v>59.2</v>
      </c>
    </row>
    <row r="9" customFormat="false" ht="15" hidden="false" customHeight="false" outlineLevel="0" collapsed="false">
      <c r="A9" s="7" t="str">
        <f aca="false">IF(Productos!B9="","",Productos!A9)</f>
        <v>P005</v>
      </c>
      <c r="B9" s="7" t="str">
        <f aca="false">IF(Productos!B9="","",Productos!B9)</f>
        <v>Refresco cola 2 L</v>
      </c>
      <c r="C9" s="7" t="str">
        <f aca="false">IF(B9="","",Productos!C9)</f>
        <v>Bebidas</v>
      </c>
      <c r="D9" s="10" t="n">
        <f aca="false">IF(B9="","",N(Productos!E9))</f>
        <v>45</v>
      </c>
      <c r="E9" s="10" t="n">
        <f aca="false">IF(B9="","",SUMIFS(Compras!$E$5:$E$304,Compras!$B$5:$B$304,B9))</f>
        <v>30</v>
      </c>
      <c r="F9" s="10" t="n">
        <f aca="false">IF(B9="","",SUMIFS(Ventas!$F$5:$F$504,Ventas!$C$5:$C$504,B9))</f>
        <v>16</v>
      </c>
      <c r="G9" s="16" t="n">
        <f aca="false">IF(B9="","",D9+E9-F9)</f>
        <v>59</v>
      </c>
      <c r="H9" s="10" t="n">
        <f aca="false">IF(B9="","",N(Productos!J9))</f>
        <v>15</v>
      </c>
      <c r="I9" s="24" t="str">
        <f aca="false">IF(B9="","",IF(G9&lt;=0,"AGOTADO",IF(G9&lt;=H9,"REPONER","OK")))</f>
        <v>OK</v>
      </c>
      <c r="J9" s="11" t="n">
        <f aca="false">IF(B9="","",N(Productos!F9))</f>
        <v>1</v>
      </c>
      <c r="K9" s="11" t="n">
        <f aca="false">IF(B9="","",G9*J9)</f>
        <v>59</v>
      </c>
      <c r="L9" s="11" t="n">
        <f aca="false">IF(B9="","",G9*N(Productos!G9))</f>
        <v>103.25</v>
      </c>
    </row>
    <row r="10" customFormat="false" ht="15" hidden="false" customHeight="false" outlineLevel="0" collapsed="false">
      <c r="A10" s="7" t="str">
        <f aca="false">IF(Productos!B10="","",Productos!A10)</f>
        <v>P006</v>
      </c>
      <c r="B10" s="7" t="str">
        <f aca="false">IF(Productos!B10="","",Productos!B10)</f>
        <v>Agua mineral 1,5 L</v>
      </c>
      <c r="C10" s="7" t="str">
        <f aca="false">IF(B10="","",Productos!C10)</f>
        <v>Bebidas</v>
      </c>
      <c r="D10" s="10" t="n">
        <f aca="false">IF(B10="","",N(Productos!E10))</f>
        <v>80</v>
      </c>
      <c r="E10" s="10" t="n">
        <f aca="false">IF(B10="","",SUMIFS(Compras!$E$5:$E$304,Compras!$B$5:$B$304,B10))</f>
        <v>60</v>
      </c>
      <c r="F10" s="10" t="n">
        <f aca="false">IF(B10="","",SUMIFS(Ventas!$F$5:$F$504,Ventas!$C$5:$C$504,B10))</f>
        <v>12</v>
      </c>
      <c r="G10" s="16" t="n">
        <f aca="false">IF(B10="","",D10+E10-F10)</f>
        <v>128</v>
      </c>
      <c r="H10" s="10" t="n">
        <f aca="false">IF(B10="","",N(Productos!J10))</f>
        <v>30</v>
      </c>
      <c r="I10" s="24" t="str">
        <f aca="false">IF(B10="","",IF(G10&lt;=0,"AGOTADO",IF(G10&lt;=H10,"REPONER","OK")))</f>
        <v>OK</v>
      </c>
      <c r="J10" s="11" t="n">
        <f aca="false">IF(B10="","",N(Productos!F10))</f>
        <v>0.3</v>
      </c>
      <c r="K10" s="11" t="n">
        <f aca="false">IF(B10="","",G10*J10)</f>
        <v>38.4</v>
      </c>
      <c r="L10" s="11" t="n">
        <f aca="false">IF(B10="","",G10*N(Productos!G10))</f>
        <v>83.2</v>
      </c>
    </row>
    <row r="11" customFormat="false" ht="15" hidden="false" customHeight="false" outlineLevel="0" collapsed="false">
      <c r="A11" s="7" t="str">
        <f aca="false">IF(Productos!B11="","",Productos!A11)</f>
        <v>P007</v>
      </c>
      <c r="B11" s="7" t="str">
        <f aca="false">IF(Productos!B11="","",Productos!B11)</f>
        <v>Detergente 3 L</v>
      </c>
      <c r="C11" s="7" t="str">
        <f aca="false">IF(B11="","",Productos!C11)</f>
        <v>Limpieza</v>
      </c>
      <c r="D11" s="10" t="n">
        <f aca="false">IF(B11="","",N(Productos!E11))</f>
        <v>20</v>
      </c>
      <c r="E11" s="10" t="n">
        <f aca="false">IF(B11="","",SUMIFS(Compras!$E$5:$E$304,Compras!$B$5:$B$304,B11))</f>
        <v>12</v>
      </c>
      <c r="F11" s="10" t="n">
        <f aca="false">IF(B11="","",SUMIFS(Ventas!$F$5:$F$504,Ventas!$C$5:$C$504,B11))</f>
        <v>5</v>
      </c>
      <c r="G11" s="16" t="n">
        <f aca="false">IF(B11="","",D11+E11-F11)</f>
        <v>27</v>
      </c>
      <c r="H11" s="10" t="n">
        <f aca="false">IF(B11="","",N(Productos!J11))</f>
        <v>6</v>
      </c>
      <c r="I11" s="24" t="str">
        <f aca="false">IF(B11="","",IF(G11&lt;=0,"AGOTADO",IF(G11&lt;=H11,"REPONER","OK")))</f>
        <v>OK</v>
      </c>
      <c r="J11" s="11" t="n">
        <f aca="false">IF(B11="","",N(Productos!F11))</f>
        <v>5.2</v>
      </c>
      <c r="K11" s="11" t="n">
        <f aca="false">IF(B11="","",G11*J11)</f>
        <v>140.4</v>
      </c>
      <c r="L11" s="11" t="n">
        <f aca="false">IF(B11="","",G11*N(Productos!G11))</f>
        <v>229.5</v>
      </c>
    </row>
    <row r="12" customFormat="false" ht="15" hidden="false" customHeight="false" outlineLevel="0" collapsed="false">
      <c r="A12" s="7" t="str">
        <f aca="false">IF(Productos!B12="","",Productos!A12)</f>
        <v>P008</v>
      </c>
      <c r="B12" s="7" t="str">
        <f aca="false">IF(Productos!B12="","",Productos!B12)</f>
        <v>Papel higiénico (12 rollos)</v>
      </c>
      <c r="C12" s="7" t="str">
        <f aca="false">IF(B12="","",Productos!C12)</f>
        <v>Limpieza</v>
      </c>
      <c r="D12" s="10" t="n">
        <f aca="false">IF(B12="","",N(Productos!E12))</f>
        <v>25</v>
      </c>
      <c r="E12" s="10" t="n">
        <f aca="false">IF(B12="","",SUMIFS(Compras!$E$5:$E$304,Compras!$B$5:$B$304,B12))</f>
        <v>0</v>
      </c>
      <c r="F12" s="10" t="n">
        <f aca="false">IF(B12="","",SUMIFS(Ventas!$F$5:$F$504,Ventas!$C$5:$C$504,B12))</f>
        <v>5</v>
      </c>
      <c r="G12" s="16" t="n">
        <f aca="false">IF(B12="","",D12+E12-F12)</f>
        <v>20</v>
      </c>
      <c r="H12" s="10" t="n">
        <f aca="false">IF(B12="","",N(Productos!J12))</f>
        <v>8</v>
      </c>
      <c r="I12" s="24" t="str">
        <f aca="false">IF(B12="","",IF(G12&lt;=0,"AGOTADO",IF(G12&lt;=H12,"REPONER","OK")))</f>
        <v>OK</v>
      </c>
      <c r="J12" s="11" t="n">
        <f aca="false">IF(B12="","",N(Productos!F12))</f>
        <v>3.4</v>
      </c>
      <c r="K12" s="11" t="n">
        <f aca="false">IF(B12="","",G12*J12)</f>
        <v>68</v>
      </c>
      <c r="L12" s="11" t="n">
        <f aca="false">IF(B12="","",G12*N(Productos!G12))</f>
        <v>112</v>
      </c>
    </row>
    <row r="13" customFormat="false" ht="15" hidden="false" customHeight="false" outlineLevel="0" collapsed="false">
      <c r="A13" s="7" t="str">
        <f aca="false">IF(Productos!B13="","",Productos!A13)</f>
        <v>P009</v>
      </c>
      <c r="B13" s="7" t="str">
        <f aca="false">IF(Productos!B13="","",Productos!B13)</f>
        <v>Galletas surtidas</v>
      </c>
      <c r="C13" s="7" t="str">
        <f aca="false">IF(B13="","",Productos!C13)</f>
        <v>Snacks</v>
      </c>
      <c r="D13" s="10" t="n">
        <f aca="false">IF(B13="","",N(Productos!E13))</f>
        <v>35</v>
      </c>
      <c r="E13" s="10" t="n">
        <f aca="false">IF(B13="","",SUMIFS(Compras!$E$5:$E$304,Compras!$B$5:$B$304,B13))</f>
        <v>25</v>
      </c>
      <c r="F13" s="10" t="n">
        <f aca="false">IF(B13="","",SUMIFS(Ventas!$F$5:$F$504,Ventas!$C$5:$C$504,B13))</f>
        <v>6</v>
      </c>
      <c r="G13" s="16" t="n">
        <f aca="false">IF(B13="","",D13+E13-F13)</f>
        <v>54</v>
      </c>
      <c r="H13" s="10" t="n">
        <f aca="false">IF(B13="","",N(Productos!J13))</f>
        <v>10</v>
      </c>
      <c r="I13" s="24" t="str">
        <f aca="false">IF(B13="","",IF(G13&lt;=0,"AGOTADO",IF(G13&lt;=H13,"REPONER","OK")))</f>
        <v>OK</v>
      </c>
      <c r="J13" s="11" t="n">
        <f aca="false">IF(B13="","",N(Productos!F13))</f>
        <v>1.2</v>
      </c>
      <c r="K13" s="11" t="n">
        <f aca="false">IF(B13="","",G13*J13)</f>
        <v>64.8</v>
      </c>
      <c r="L13" s="11" t="n">
        <f aca="false">IF(B13="","",G13*N(Productos!G13))</f>
        <v>118.8</v>
      </c>
    </row>
    <row r="14" customFormat="false" ht="15" hidden="false" customHeight="false" outlineLevel="0" collapsed="false">
      <c r="A14" s="7" t="str">
        <f aca="false">IF(Productos!B14="","",Productos!A14)</f>
        <v>P010</v>
      </c>
      <c r="B14" s="7" t="str">
        <f aca="false">IF(Productos!B14="","",Productos!B14)</f>
        <v>Patatas fritas 150 g</v>
      </c>
      <c r="C14" s="7" t="str">
        <f aca="false">IF(B14="","",Productos!C14)</f>
        <v>Snacks</v>
      </c>
      <c r="D14" s="10" t="n">
        <f aca="false">IF(B14="","",N(Productos!E14))</f>
        <v>40</v>
      </c>
      <c r="E14" s="10" t="n">
        <f aca="false">IF(B14="","",SUMIFS(Compras!$E$5:$E$304,Compras!$B$5:$B$304,B14))</f>
        <v>30</v>
      </c>
      <c r="F14" s="10" t="n">
        <f aca="false">IF(B14="","",SUMIFS(Ventas!$F$5:$F$504,Ventas!$C$5:$C$504,B14))</f>
        <v>10</v>
      </c>
      <c r="G14" s="16" t="n">
        <f aca="false">IF(B14="","",D14+E14-F14)</f>
        <v>60</v>
      </c>
      <c r="H14" s="10" t="n">
        <f aca="false">IF(B14="","",N(Productos!J14))</f>
        <v>12</v>
      </c>
      <c r="I14" s="24" t="str">
        <f aca="false">IF(B14="","",IF(G14&lt;=0,"AGOTADO",IF(G14&lt;=H14,"REPONER","OK")))</f>
        <v>OK</v>
      </c>
      <c r="J14" s="11" t="n">
        <f aca="false">IF(B14="","",N(Productos!F14))</f>
        <v>0.95</v>
      </c>
      <c r="K14" s="11" t="n">
        <f aca="false">IF(B14="","",G14*J14)</f>
        <v>57</v>
      </c>
      <c r="L14" s="11" t="n">
        <f aca="false">IF(B14="","",G14*N(Productos!G14))</f>
        <v>108</v>
      </c>
    </row>
    <row r="15" customFormat="false" ht="15" hidden="false" customHeight="false" outlineLevel="0" collapsed="false">
      <c r="A15" s="7" t="str">
        <f aca="false">IF(Productos!B15="","",Productos!A15)</f>
        <v>P011</v>
      </c>
      <c r="B15" s="7" t="str">
        <f aca="false">IF(Productos!B15="","",Productos!B15)</f>
        <v>Cuaderno A4</v>
      </c>
      <c r="C15" s="7" t="str">
        <f aca="false">IF(B15="","",Productos!C15)</f>
        <v>Papelería</v>
      </c>
      <c r="D15" s="10" t="n">
        <f aca="false">IF(B15="","",N(Productos!E15))</f>
        <v>15</v>
      </c>
      <c r="E15" s="10" t="n">
        <f aca="false">IF(B15="","",SUMIFS(Compras!$E$5:$E$304,Compras!$B$5:$B$304,B15))</f>
        <v>0</v>
      </c>
      <c r="F15" s="10" t="n">
        <f aca="false">IF(B15="","",SUMIFS(Ventas!$F$5:$F$504,Ventas!$C$5:$C$504,B15))</f>
        <v>4</v>
      </c>
      <c r="G15" s="16" t="n">
        <f aca="false">IF(B15="","",D15+E15-F15)</f>
        <v>11</v>
      </c>
      <c r="H15" s="10" t="n">
        <f aca="false">IF(B15="","",N(Productos!J15))</f>
        <v>5</v>
      </c>
      <c r="I15" s="24" t="str">
        <f aca="false">IF(B15="","",IF(G15&lt;=0,"AGOTADO",IF(G15&lt;=H15,"REPONER","OK")))</f>
        <v>OK</v>
      </c>
      <c r="J15" s="11" t="n">
        <f aca="false">IF(B15="","",N(Productos!F15))</f>
        <v>1.4</v>
      </c>
      <c r="K15" s="11" t="n">
        <f aca="false">IF(B15="","",G15*J15)</f>
        <v>15.4</v>
      </c>
      <c r="L15" s="11" t="n">
        <f aca="false">IF(B15="","",G15*N(Productos!G15))</f>
        <v>31.9</v>
      </c>
    </row>
    <row r="16" customFormat="false" ht="15" hidden="false" customHeight="false" outlineLevel="0" collapsed="false">
      <c r="A16" s="7" t="str">
        <f aca="false">IF(Productos!B16="","",Productos!A16)</f>
        <v>P012</v>
      </c>
      <c r="B16" s="7" t="str">
        <f aca="false">IF(Productos!B16="","",Productos!B16)</f>
        <v>Bolígrafos (pack 10)</v>
      </c>
      <c r="C16" s="7" t="str">
        <f aca="false">IF(B16="","",Productos!C16)</f>
        <v>Papelería</v>
      </c>
      <c r="D16" s="10" t="n">
        <f aca="false">IF(B16="","",N(Productos!E16))</f>
        <v>12</v>
      </c>
      <c r="E16" s="10" t="n">
        <f aca="false">IF(B16="","",SUMIFS(Compras!$E$5:$E$304,Compras!$B$5:$B$304,B16))</f>
        <v>0</v>
      </c>
      <c r="F16" s="10" t="n">
        <f aca="false">IF(B16="","",SUMIFS(Ventas!$F$5:$F$504,Ventas!$C$5:$C$504,B16))</f>
        <v>9</v>
      </c>
      <c r="G16" s="16" t="n">
        <f aca="false">IF(B16="","",D16+E16-F16)</f>
        <v>3</v>
      </c>
      <c r="H16" s="10" t="n">
        <f aca="false">IF(B16="","",N(Productos!J16))</f>
        <v>4</v>
      </c>
      <c r="I16" s="24" t="str">
        <f aca="false">IF(B16="","",IF(G16&lt;=0,"AGOTADO",IF(G16&lt;=H16,"REPONER","OK")))</f>
        <v>REPONER</v>
      </c>
      <c r="J16" s="11" t="n">
        <f aca="false">IF(B16="","",N(Productos!F16))</f>
        <v>2.1</v>
      </c>
      <c r="K16" s="11" t="n">
        <f aca="false">IF(B16="","",G16*J16)</f>
        <v>6.3</v>
      </c>
      <c r="L16" s="11" t="n">
        <f aca="false">IF(B16="","",G16*N(Productos!G16))</f>
        <v>12.6</v>
      </c>
    </row>
    <row r="17" customFormat="false" ht="15" hidden="false" customHeight="false" outlineLevel="0" collapsed="false">
      <c r="A17" s="7" t="str">
        <f aca="false">IF(Productos!B17="","",Productos!A17)</f>
        <v/>
      </c>
      <c r="B17" s="7" t="str">
        <f aca="false">IF(Productos!B17="","",Productos!B17)</f>
        <v/>
      </c>
      <c r="C17" s="7" t="str">
        <f aca="false">IF(B17="","",Productos!C17)</f>
        <v/>
      </c>
      <c r="D17" s="10" t="str">
        <f aca="false">IF(B17="","",N(Productos!E17))</f>
        <v/>
      </c>
      <c r="E17" s="10" t="str">
        <f aca="false">IF(B17="","",SUMIFS(Compras!$E$5:$E$304,Compras!$B$5:$B$304,B17))</f>
        <v/>
      </c>
      <c r="F17" s="10" t="str">
        <f aca="false">IF(B17="","",SUMIFS(Ventas!$F$5:$F$504,Ventas!$C$5:$C$504,B17))</f>
        <v/>
      </c>
      <c r="G17" s="16" t="str">
        <f aca="false">IF(B17="","",D17+E17-F17)</f>
        <v/>
      </c>
      <c r="H17" s="10" t="str">
        <f aca="false">IF(B17="","",N(Productos!J17))</f>
        <v/>
      </c>
      <c r="I17" s="24" t="str">
        <f aca="false">IF(B17="","",IF(G17&lt;=0,"AGOTADO",IF(G17&lt;=H17,"REPONER","OK")))</f>
        <v/>
      </c>
      <c r="J17" s="11" t="str">
        <f aca="false">IF(B17="","",N(Productos!F17))</f>
        <v/>
      </c>
      <c r="K17" s="11" t="str">
        <f aca="false">IF(B17="","",G17*J17)</f>
        <v/>
      </c>
      <c r="L17" s="11" t="str">
        <f aca="false">IF(B17="","",G17*N(Productos!G17))</f>
        <v/>
      </c>
    </row>
    <row r="18" customFormat="false" ht="15" hidden="false" customHeight="false" outlineLevel="0" collapsed="false">
      <c r="A18" s="7" t="str">
        <f aca="false">IF(Productos!B18="","",Productos!A18)</f>
        <v/>
      </c>
      <c r="B18" s="7" t="str">
        <f aca="false">IF(Productos!B18="","",Productos!B18)</f>
        <v/>
      </c>
      <c r="C18" s="7" t="str">
        <f aca="false">IF(B18="","",Productos!C18)</f>
        <v/>
      </c>
      <c r="D18" s="10" t="str">
        <f aca="false">IF(B18="","",N(Productos!E18))</f>
        <v/>
      </c>
      <c r="E18" s="10" t="str">
        <f aca="false">IF(B18="","",SUMIFS(Compras!$E$5:$E$304,Compras!$B$5:$B$304,B18))</f>
        <v/>
      </c>
      <c r="F18" s="10" t="str">
        <f aca="false">IF(B18="","",SUMIFS(Ventas!$F$5:$F$504,Ventas!$C$5:$C$504,B18))</f>
        <v/>
      </c>
      <c r="G18" s="16" t="str">
        <f aca="false">IF(B18="","",D18+E18-F18)</f>
        <v/>
      </c>
      <c r="H18" s="10" t="str">
        <f aca="false">IF(B18="","",N(Productos!J18))</f>
        <v/>
      </c>
      <c r="I18" s="24" t="str">
        <f aca="false">IF(B18="","",IF(G18&lt;=0,"AGOTADO",IF(G18&lt;=H18,"REPONER","OK")))</f>
        <v/>
      </c>
      <c r="J18" s="11" t="str">
        <f aca="false">IF(B18="","",N(Productos!F18))</f>
        <v/>
      </c>
      <c r="K18" s="11" t="str">
        <f aca="false">IF(B18="","",G18*J18)</f>
        <v/>
      </c>
      <c r="L18" s="11" t="str">
        <f aca="false">IF(B18="","",G18*N(Productos!G18))</f>
        <v/>
      </c>
    </row>
    <row r="19" customFormat="false" ht="15" hidden="false" customHeight="false" outlineLevel="0" collapsed="false">
      <c r="A19" s="7" t="str">
        <f aca="false">IF(Productos!B19="","",Productos!A19)</f>
        <v/>
      </c>
      <c r="B19" s="7" t="str">
        <f aca="false">IF(Productos!B19="","",Productos!B19)</f>
        <v/>
      </c>
      <c r="C19" s="7" t="str">
        <f aca="false">IF(B19="","",Productos!C19)</f>
        <v/>
      </c>
      <c r="D19" s="10" t="str">
        <f aca="false">IF(B19="","",N(Productos!E19))</f>
        <v/>
      </c>
      <c r="E19" s="10" t="str">
        <f aca="false">IF(B19="","",SUMIFS(Compras!$E$5:$E$304,Compras!$B$5:$B$304,B19))</f>
        <v/>
      </c>
      <c r="F19" s="10" t="str">
        <f aca="false">IF(B19="","",SUMIFS(Ventas!$F$5:$F$504,Ventas!$C$5:$C$504,B19))</f>
        <v/>
      </c>
      <c r="G19" s="16" t="str">
        <f aca="false">IF(B19="","",D19+E19-F19)</f>
        <v/>
      </c>
      <c r="H19" s="10" t="str">
        <f aca="false">IF(B19="","",N(Productos!J19))</f>
        <v/>
      </c>
      <c r="I19" s="24" t="str">
        <f aca="false">IF(B19="","",IF(G19&lt;=0,"AGOTADO",IF(G19&lt;=H19,"REPONER","OK")))</f>
        <v/>
      </c>
      <c r="J19" s="11" t="str">
        <f aca="false">IF(B19="","",N(Productos!F19))</f>
        <v/>
      </c>
      <c r="K19" s="11" t="str">
        <f aca="false">IF(B19="","",G19*J19)</f>
        <v/>
      </c>
      <c r="L19" s="11" t="str">
        <f aca="false">IF(B19="","",G19*N(Productos!G19))</f>
        <v/>
      </c>
    </row>
    <row r="20" customFormat="false" ht="15" hidden="false" customHeight="false" outlineLevel="0" collapsed="false">
      <c r="A20" s="7" t="str">
        <f aca="false">IF(Productos!B20="","",Productos!A20)</f>
        <v/>
      </c>
      <c r="B20" s="7" t="str">
        <f aca="false">IF(Productos!B20="","",Productos!B20)</f>
        <v/>
      </c>
      <c r="C20" s="7" t="str">
        <f aca="false">IF(B20="","",Productos!C20)</f>
        <v/>
      </c>
      <c r="D20" s="10" t="str">
        <f aca="false">IF(B20="","",N(Productos!E20))</f>
        <v/>
      </c>
      <c r="E20" s="10" t="str">
        <f aca="false">IF(B20="","",SUMIFS(Compras!$E$5:$E$304,Compras!$B$5:$B$304,B20))</f>
        <v/>
      </c>
      <c r="F20" s="10" t="str">
        <f aca="false">IF(B20="","",SUMIFS(Ventas!$F$5:$F$504,Ventas!$C$5:$C$504,B20))</f>
        <v/>
      </c>
      <c r="G20" s="16" t="str">
        <f aca="false">IF(B20="","",D20+E20-F20)</f>
        <v/>
      </c>
      <c r="H20" s="10" t="str">
        <f aca="false">IF(B20="","",N(Productos!J20))</f>
        <v/>
      </c>
      <c r="I20" s="24" t="str">
        <f aca="false">IF(B20="","",IF(G20&lt;=0,"AGOTADO",IF(G20&lt;=H20,"REPONER","OK")))</f>
        <v/>
      </c>
      <c r="J20" s="11" t="str">
        <f aca="false">IF(B20="","",N(Productos!F20))</f>
        <v/>
      </c>
      <c r="K20" s="11" t="str">
        <f aca="false">IF(B20="","",G20*J20)</f>
        <v/>
      </c>
      <c r="L20" s="11" t="str">
        <f aca="false">IF(B20="","",G20*N(Productos!G20))</f>
        <v/>
      </c>
    </row>
    <row r="21" customFormat="false" ht="15" hidden="false" customHeight="false" outlineLevel="0" collapsed="false">
      <c r="A21" s="7" t="str">
        <f aca="false">IF(Productos!B21="","",Productos!A21)</f>
        <v/>
      </c>
      <c r="B21" s="7" t="str">
        <f aca="false">IF(Productos!B21="","",Productos!B21)</f>
        <v/>
      </c>
      <c r="C21" s="7" t="str">
        <f aca="false">IF(B21="","",Productos!C21)</f>
        <v/>
      </c>
      <c r="D21" s="10" t="str">
        <f aca="false">IF(B21="","",N(Productos!E21))</f>
        <v/>
      </c>
      <c r="E21" s="10" t="str">
        <f aca="false">IF(B21="","",SUMIFS(Compras!$E$5:$E$304,Compras!$B$5:$B$304,B21))</f>
        <v/>
      </c>
      <c r="F21" s="10" t="str">
        <f aca="false">IF(B21="","",SUMIFS(Ventas!$F$5:$F$504,Ventas!$C$5:$C$504,B21))</f>
        <v/>
      </c>
      <c r="G21" s="16" t="str">
        <f aca="false">IF(B21="","",D21+E21-F21)</f>
        <v/>
      </c>
      <c r="H21" s="10" t="str">
        <f aca="false">IF(B21="","",N(Productos!J21))</f>
        <v/>
      </c>
      <c r="I21" s="24" t="str">
        <f aca="false">IF(B21="","",IF(G21&lt;=0,"AGOTADO",IF(G21&lt;=H21,"REPONER","OK")))</f>
        <v/>
      </c>
      <c r="J21" s="11" t="str">
        <f aca="false">IF(B21="","",N(Productos!F21))</f>
        <v/>
      </c>
      <c r="K21" s="11" t="str">
        <f aca="false">IF(B21="","",G21*J21)</f>
        <v/>
      </c>
      <c r="L21" s="11" t="str">
        <f aca="false">IF(B21="","",G21*N(Productos!G21))</f>
        <v/>
      </c>
    </row>
    <row r="22" customFormat="false" ht="15" hidden="false" customHeight="false" outlineLevel="0" collapsed="false">
      <c r="A22" s="7" t="str">
        <f aca="false">IF(Productos!B22="","",Productos!A22)</f>
        <v/>
      </c>
      <c r="B22" s="7" t="str">
        <f aca="false">IF(Productos!B22="","",Productos!B22)</f>
        <v/>
      </c>
      <c r="C22" s="7" t="str">
        <f aca="false">IF(B22="","",Productos!C22)</f>
        <v/>
      </c>
      <c r="D22" s="10" t="str">
        <f aca="false">IF(B22="","",N(Productos!E22))</f>
        <v/>
      </c>
      <c r="E22" s="10" t="str">
        <f aca="false">IF(B22="","",SUMIFS(Compras!$E$5:$E$304,Compras!$B$5:$B$304,B22))</f>
        <v/>
      </c>
      <c r="F22" s="10" t="str">
        <f aca="false">IF(B22="","",SUMIFS(Ventas!$F$5:$F$504,Ventas!$C$5:$C$504,B22))</f>
        <v/>
      </c>
      <c r="G22" s="16" t="str">
        <f aca="false">IF(B22="","",D22+E22-F22)</f>
        <v/>
      </c>
      <c r="H22" s="10" t="str">
        <f aca="false">IF(B22="","",N(Productos!J22))</f>
        <v/>
      </c>
      <c r="I22" s="24" t="str">
        <f aca="false">IF(B22="","",IF(G22&lt;=0,"AGOTADO",IF(G22&lt;=H22,"REPONER","OK")))</f>
        <v/>
      </c>
      <c r="J22" s="11" t="str">
        <f aca="false">IF(B22="","",N(Productos!F22))</f>
        <v/>
      </c>
      <c r="K22" s="11" t="str">
        <f aca="false">IF(B22="","",G22*J22)</f>
        <v/>
      </c>
      <c r="L22" s="11" t="str">
        <f aca="false">IF(B22="","",G22*N(Productos!G22))</f>
        <v/>
      </c>
    </row>
    <row r="23" customFormat="false" ht="15" hidden="false" customHeight="false" outlineLevel="0" collapsed="false">
      <c r="A23" s="7" t="str">
        <f aca="false">IF(Productos!B23="","",Productos!A23)</f>
        <v/>
      </c>
      <c r="B23" s="7" t="str">
        <f aca="false">IF(Productos!B23="","",Productos!B23)</f>
        <v/>
      </c>
      <c r="C23" s="7" t="str">
        <f aca="false">IF(B23="","",Productos!C23)</f>
        <v/>
      </c>
      <c r="D23" s="10" t="str">
        <f aca="false">IF(B23="","",N(Productos!E23))</f>
        <v/>
      </c>
      <c r="E23" s="10" t="str">
        <f aca="false">IF(B23="","",SUMIFS(Compras!$E$5:$E$304,Compras!$B$5:$B$304,B23))</f>
        <v/>
      </c>
      <c r="F23" s="10" t="str">
        <f aca="false">IF(B23="","",SUMIFS(Ventas!$F$5:$F$504,Ventas!$C$5:$C$504,B23))</f>
        <v/>
      </c>
      <c r="G23" s="16" t="str">
        <f aca="false">IF(B23="","",D23+E23-F23)</f>
        <v/>
      </c>
      <c r="H23" s="10" t="str">
        <f aca="false">IF(B23="","",N(Productos!J23))</f>
        <v/>
      </c>
      <c r="I23" s="24" t="str">
        <f aca="false">IF(B23="","",IF(G23&lt;=0,"AGOTADO",IF(G23&lt;=H23,"REPONER","OK")))</f>
        <v/>
      </c>
      <c r="J23" s="11" t="str">
        <f aca="false">IF(B23="","",N(Productos!F23))</f>
        <v/>
      </c>
      <c r="K23" s="11" t="str">
        <f aca="false">IF(B23="","",G23*J23)</f>
        <v/>
      </c>
      <c r="L23" s="11" t="str">
        <f aca="false">IF(B23="","",G23*N(Productos!G23))</f>
        <v/>
      </c>
    </row>
    <row r="24" customFormat="false" ht="15" hidden="false" customHeight="false" outlineLevel="0" collapsed="false">
      <c r="A24" s="7" t="str">
        <f aca="false">IF(Productos!B24="","",Productos!A24)</f>
        <v/>
      </c>
      <c r="B24" s="7" t="str">
        <f aca="false">IF(Productos!B24="","",Productos!B24)</f>
        <v/>
      </c>
      <c r="C24" s="7" t="str">
        <f aca="false">IF(B24="","",Productos!C24)</f>
        <v/>
      </c>
      <c r="D24" s="10" t="str">
        <f aca="false">IF(B24="","",N(Productos!E24))</f>
        <v/>
      </c>
      <c r="E24" s="10" t="str">
        <f aca="false">IF(B24="","",SUMIFS(Compras!$E$5:$E$304,Compras!$B$5:$B$304,B24))</f>
        <v/>
      </c>
      <c r="F24" s="10" t="str">
        <f aca="false">IF(B24="","",SUMIFS(Ventas!$F$5:$F$504,Ventas!$C$5:$C$504,B24))</f>
        <v/>
      </c>
      <c r="G24" s="16" t="str">
        <f aca="false">IF(B24="","",D24+E24-F24)</f>
        <v/>
      </c>
      <c r="H24" s="10" t="str">
        <f aca="false">IF(B24="","",N(Productos!J24))</f>
        <v/>
      </c>
      <c r="I24" s="24" t="str">
        <f aca="false">IF(B24="","",IF(G24&lt;=0,"AGOTADO",IF(G24&lt;=H24,"REPONER","OK")))</f>
        <v/>
      </c>
      <c r="J24" s="11" t="str">
        <f aca="false">IF(B24="","",N(Productos!F24))</f>
        <v/>
      </c>
      <c r="K24" s="11" t="str">
        <f aca="false">IF(B24="","",G24*J24)</f>
        <v/>
      </c>
      <c r="L24" s="11" t="str">
        <f aca="false">IF(B24="","",G24*N(Productos!G24))</f>
        <v/>
      </c>
    </row>
    <row r="25" customFormat="false" ht="15" hidden="false" customHeight="false" outlineLevel="0" collapsed="false">
      <c r="A25" s="7" t="str">
        <f aca="false">IF(Productos!B25="","",Productos!A25)</f>
        <v/>
      </c>
      <c r="B25" s="7" t="str">
        <f aca="false">IF(Productos!B25="","",Productos!B25)</f>
        <v/>
      </c>
      <c r="C25" s="7" t="str">
        <f aca="false">IF(B25="","",Productos!C25)</f>
        <v/>
      </c>
      <c r="D25" s="10" t="str">
        <f aca="false">IF(B25="","",N(Productos!E25))</f>
        <v/>
      </c>
      <c r="E25" s="10" t="str">
        <f aca="false">IF(B25="","",SUMIFS(Compras!$E$5:$E$304,Compras!$B$5:$B$304,B25))</f>
        <v/>
      </c>
      <c r="F25" s="10" t="str">
        <f aca="false">IF(B25="","",SUMIFS(Ventas!$F$5:$F$504,Ventas!$C$5:$C$504,B25))</f>
        <v/>
      </c>
      <c r="G25" s="16" t="str">
        <f aca="false">IF(B25="","",D25+E25-F25)</f>
        <v/>
      </c>
      <c r="H25" s="10" t="str">
        <f aca="false">IF(B25="","",N(Productos!J25))</f>
        <v/>
      </c>
      <c r="I25" s="24" t="str">
        <f aca="false">IF(B25="","",IF(G25&lt;=0,"AGOTADO",IF(G25&lt;=H25,"REPONER","OK")))</f>
        <v/>
      </c>
      <c r="J25" s="11" t="str">
        <f aca="false">IF(B25="","",N(Productos!F25))</f>
        <v/>
      </c>
      <c r="K25" s="11" t="str">
        <f aca="false">IF(B25="","",G25*J25)</f>
        <v/>
      </c>
      <c r="L25" s="11" t="str">
        <f aca="false">IF(B25="","",G25*N(Productos!G25))</f>
        <v/>
      </c>
    </row>
    <row r="26" customFormat="false" ht="15" hidden="false" customHeight="false" outlineLevel="0" collapsed="false">
      <c r="A26" s="7" t="str">
        <f aca="false">IF(Productos!B26="","",Productos!A26)</f>
        <v/>
      </c>
      <c r="B26" s="7" t="str">
        <f aca="false">IF(Productos!B26="","",Productos!B26)</f>
        <v/>
      </c>
      <c r="C26" s="7" t="str">
        <f aca="false">IF(B26="","",Productos!C26)</f>
        <v/>
      </c>
      <c r="D26" s="10" t="str">
        <f aca="false">IF(B26="","",N(Productos!E26))</f>
        <v/>
      </c>
      <c r="E26" s="10" t="str">
        <f aca="false">IF(B26="","",SUMIFS(Compras!$E$5:$E$304,Compras!$B$5:$B$304,B26))</f>
        <v/>
      </c>
      <c r="F26" s="10" t="str">
        <f aca="false">IF(B26="","",SUMIFS(Ventas!$F$5:$F$504,Ventas!$C$5:$C$504,B26))</f>
        <v/>
      </c>
      <c r="G26" s="16" t="str">
        <f aca="false">IF(B26="","",D26+E26-F26)</f>
        <v/>
      </c>
      <c r="H26" s="10" t="str">
        <f aca="false">IF(B26="","",N(Productos!J26))</f>
        <v/>
      </c>
      <c r="I26" s="24" t="str">
        <f aca="false">IF(B26="","",IF(G26&lt;=0,"AGOTADO",IF(G26&lt;=H26,"REPONER","OK")))</f>
        <v/>
      </c>
      <c r="J26" s="11" t="str">
        <f aca="false">IF(B26="","",N(Productos!F26))</f>
        <v/>
      </c>
      <c r="K26" s="11" t="str">
        <f aca="false">IF(B26="","",G26*J26)</f>
        <v/>
      </c>
      <c r="L26" s="11" t="str">
        <f aca="false">IF(B26="","",G26*N(Productos!G26))</f>
        <v/>
      </c>
    </row>
    <row r="27" customFormat="false" ht="15" hidden="false" customHeight="false" outlineLevel="0" collapsed="false">
      <c r="A27" s="7" t="str">
        <f aca="false">IF(Productos!B27="","",Productos!A27)</f>
        <v/>
      </c>
      <c r="B27" s="7" t="str">
        <f aca="false">IF(Productos!B27="","",Productos!B27)</f>
        <v/>
      </c>
      <c r="C27" s="7" t="str">
        <f aca="false">IF(B27="","",Productos!C27)</f>
        <v/>
      </c>
      <c r="D27" s="10" t="str">
        <f aca="false">IF(B27="","",N(Productos!E27))</f>
        <v/>
      </c>
      <c r="E27" s="10" t="str">
        <f aca="false">IF(B27="","",SUMIFS(Compras!$E$5:$E$304,Compras!$B$5:$B$304,B27))</f>
        <v/>
      </c>
      <c r="F27" s="10" t="str">
        <f aca="false">IF(B27="","",SUMIFS(Ventas!$F$5:$F$504,Ventas!$C$5:$C$504,B27))</f>
        <v/>
      </c>
      <c r="G27" s="16" t="str">
        <f aca="false">IF(B27="","",D27+E27-F27)</f>
        <v/>
      </c>
      <c r="H27" s="10" t="str">
        <f aca="false">IF(B27="","",N(Productos!J27))</f>
        <v/>
      </c>
      <c r="I27" s="24" t="str">
        <f aca="false">IF(B27="","",IF(G27&lt;=0,"AGOTADO",IF(G27&lt;=H27,"REPONER","OK")))</f>
        <v/>
      </c>
      <c r="J27" s="11" t="str">
        <f aca="false">IF(B27="","",N(Productos!F27))</f>
        <v/>
      </c>
      <c r="K27" s="11" t="str">
        <f aca="false">IF(B27="","",G27*J27)</f>
        <v/>
      </c>
      <c r="L27" s="11" t="str">
        <f aca="false">IF(B27="","",G27*N(Productos!G27))</f>
        <v/>
      </c>
    </row>
    <row r="28" customFormat="false" ht="15" hidden="false" customHeight="false" outlineLevel="0" collapsed="false">
      <c r="A28" s="7" t="str">
        <f aca="false">IF(Productos!B28="","",Productos!A28)</f>
        <v/>
      </c>
      <c r="B28" s="7" t="str">
        <f aca="false">IF(Productos!B28="","",Productos!B28)</f>
        <v/>
      </c>
      <c r="C28" s="7" t="str">
        <f aca="false">IF(B28="","",Productos!C28)</f>
        <v/>
      </c>
      <c r="D28" s="10" t="str">
        <f aca="false">IF(B28="","",N(Productos!E28))</f>
        <v/>
      </c>
      <c r="E28" s="10" t="str">
        <f aca="false">IF(B28="","",SUMIFS(Compras!$E$5:$E$304,Compras!$B$5:$B$304,B28))</f>
        <v/>
      </c>
      <c r="F28" s="10" t="str">
        <f aca="false">IF(B28="","",SUMIFS(Ventas!$F$5:$F$504,Ventas!$C$5:$C$504,B28))</f>
        <v/>
      </c>
      <c r="G28" s="16" t="str">
        <f aca="false">IF(B28="","",D28+E28-F28)</f>
        <v/>
      </c>
      <c r="H28" s="10" t="str">
        <f aca="false">IF(B28="","",N(Productos!J28))</f>
        <v/>
      </c>
      <c r="I28" s="24" t="str">
        <f aca="false">IF(B28="","",IF(G28&lt;=0,"AGOTADO",IF(G28&lt;=H28,"REPONER","OK")))</f>
        <v/>
      </c>
      <c r="J28" s="11" t="str">
        <f aca="false">IF(B28="","",N(Productos!F28))</f>
        <v/>
      </c>
      <c r="K28" s="11" t="str">
        <f aca="false">IF(B28="","",G28*J28)</f>
        <v/>
      </c>
      <c r="L28" s="11" t="str">
        <f aca="false">IF(B28="","",G28*N(Productos!G28))</f>
        <v/>
      </c>
    </row>
    <row r="29" customFormat="false" ht="15" hidden="false" customHeight="false" outlineLevel="0" collapsed="false">
      <c r="A29" s="7" t="str">
        <f aca="false">IF(Productos!B29="","",Productos!A29)</f>
        <v/>
      </c>
      <c r="B29" s="7" t="str">
        <f aca="false">IF(Productos!B29="","",Productos!B29)</f>
        <v/>
      </c>
      <c r="C29" s="7" t="str">
        <f aca="false">IF(B29="","",Productos!C29)</f>
        <v/>
      </c>
      <c r="D29" s="10" t="str">
        <f aca="false">IF(B29="","",N(Productos!E29))</f>
        <v/>
      </c>
      <c r="E29" s="10" t="str">
        <f aca="false">IF(B29="","",SUMIFS(Compras!$E$5:$E$304,Compras!$B$5:$B$304,B29))</f>
        <v/>
      </c>
      <c r="F29" s="10" t="str">
        <f aca="false">IF(B29="","",SUMIFS(Ventas!$F$5:$F$504,Ventas!$C$5:$C$504,B29))</f>
        <v/>
      </c>
      <c r="G29" s="16" t="str">
        <f aca="false">IF(B29="","",D29+E29-F29)</f>
        <v/>
      </c>
      <c r="H29" s="10" t="str">
        <f aca="false">IF(B29="","",N(Productos!J29))</f>
        <v/>
      </c>
      <c r="I29" s="24" t="str">
        <f aca="false">IF(B29="","",IF(G29&lt;=0,"AGOTADO",IF(G29&lt;=H29,"REPONER","OK")))</f>
        <v/>
      </c>
      <c r="J29" s="11" t="str">
        <f aca="false">IF(B29="","",N(Productos!F29))</f>
        <v/>
      </c>
      <c r="K29" s="11" t="str">
        <f aca="false">IF(B29="","",G29*J29)</f>
        <v/>
      </c>
      <c r="L29" s="11" t="str">
        <f aca="false">IF(B29="","",G29*N(Productos!G29))</f>
        <v/>
      </c>
    </row>
    <row r="30" customFormat="false" ht="15" hidden="false" customHeight="false" outlineLevel="0" collapsed="false">
      <c r="A30" s="7" t="str">
        <f aca="false">IF(Productos!B30="","",Productos!A30)</f>
        <v/>
      </c>
      <c r="B30" s="7" t="str">
        <f aca="false">IF(Productos!B30="","",Productos!B30)</f>
        <v/>
      </c>
      <c r="C30" s="7" t="str">
        <f aca="false">IF(B30="","",Productos!C30)</f>
        <v/>
      </c>
      <c r="D30" s="10" t="str">
        <f aca="false">IF(B30="","",N(Productos!E30))</f>
        <v/>
      </c>
      <c r="E30" s="10" t="str">
        <f aca="false">IF(B30="","",SUMIFS(Compras!$E$5:$E$304,Compras!$B$5:$B$304,B30))</f>
        <v/>
      </c>
      <c r="F30" s="10" t="str">
        <f aca="false">IF(B30="","",SUMIFS(Ventas!$F$5:$F$504,Ventas!$C$5:$C$504,B30))</f>
        <v/>
      </c>
      <c r="G30" s="16" t="str">
        <f aca="false">IF(B30="","",D30+E30-F30)</f>
        <v/>
      </c>
      <c r="H30" s="10" t="str">
        <f aca="false">IF(B30="","",N(Productos!J30))</f>
        <v/>
      </c>
      <c r="I30" s="24" t="str">
        <f aca="false">IF(B30="","",IF(G30&lt;=0,"AGOTADO",IF(G30&lt;=H30,"REPONER","OK")))</f>
        <v/>
      </c>
      <c r="J30" s="11" t="str">
        <f aca="false">IF(B30="","",N(Productos!F30))</f>
        <v/>
      </c>
      <c r="K30" s="11" t="str">
        <f aca="false">IF(B30="","",G30*J30)</f>
        <v/>
      </c>
      <c r="L30" s="11" t="str">
        <f aca="false">IF(B30="","",G30*N(Productos!G30))</f>
        <v/>
      </c>
    </row>
    <row r="31" customFormat="false" ht="15" hidden="false" customHeight="false" outlineLevel="0" collapsed="false">
      <c r="A31" s="7" t="str">
        <f aca="false">IF(Productos!B31="","",Productos!A31)</f>
        <v/>
      </c>
      <c r="B31" s="7" t="str">
        <f aca="false">IF(Productos!B31="","",Productos!B31)</f>
        <v/>
      </c>
      <c r="C31" s="7" t="str">
        <f aca="false">IF(B31="","",Productos!C31)</f>
        <v/>
      </c>
      <c r="D31" s="10" t="str">
        <f aca="false">IF(B31="","",N(Productos!E31))</f>
        <v/>
      </c>
      <c r="E31" s="10" t="str">
        <f aca="false">IF(B31="","",SUMIFS(Compras!$E$5:$E$304,Compras!$B$5:$B$304,B31))</f>
        <v/>
      </c>
      <c r="F31" s="10" t="str">
        <f aca="false">IF(B31="","",SUMIFS(Ventas!$F$5:$F$504,Ventas!$C$5:$C$504,B31))</f>
        <v/>
      </c>
      <c r="G31" s="16" t="str">
        <f aca="false">IF(B31="","",D31+E31-F31)</f>
        <v/>
      </c>
      <c r="H31" s="10" t="str">
        <f aca="false">IF(B31="","",N(Productos!J31))</f>
        <v/>
      </c>
      <c r="I31" s="24" t="str">
        <f aca="false">IF(B31="","",IF(G31&lt;=0,"AGOTADO",IF(G31&lt;=H31,"REPONER","OK")))</f>
        <v/>
      </c>
      <c r="J31" s="11" t="str">
        <f aca="false">IF(B31="","",N(Productos!F31))</f>
        <v/>
      </c>
      <c r="K31" s="11" t="str">
        <f aca="false">IF(B31="","",G31*J31)</f>
        <v/>
      </c>
      <c r="L31" s="11" t="str">
        <f aca="false">IF(B31="","",G31*N(Productos!G31))</f>
        <v/>
      </c>
    </row>
    <row r="32" customFormat="false" ht="15" hidden="false" customHeight="false" outlineLevel="0" collapsed="false">
      <c r="A32" s="7" t="str">
        <f aca="false">IF(Productos!B32="","",Productos!A32)</f>
        <v/>
      </c>
      <c r="B32" s="7" t="str">
        <f aca="false">IF(Productos!B32="","",Productos!B32)</f>
        <v/>
      </c>
      <c r="C32" s="7" t="str">
        <f aca="false">IF(B32="","",Productos!C32)</f>
        <v/>
      </c>
      <c r="D32" s="10" t="str">
        <f aca="false">IF(B32="","",N(Productos!E32))</f>
        <v/>
      </c>
      <c r="E32" s="10" t="str">
        <f aca="false">IF(B32="","",SUMIFS(Compras!$E$5:$E$304,Compras!$B$5:$B$304,B32))</f>
        <v/>
      </c>
      <c r="F32" s="10" t="str">
        <f aca="false">IF(B32="","",SUMIFS(Ventas!$F$5:$F$504,Ventas!$C$5:$C$504,B32))</f>
        <v/>
      </c>
      <c r="G32" s="16" t="str">
        <f aca="false">IF(B32="","",D32+E32-F32)</f>
        <v/>
      </c>
      <c r="H32" s="10" t="str">
        <f aca="false">IF(B32="","",N(Productos!J32))</f>
        <v/>
      </c>
      <c r="I32" s="24" t="str">
        <f aca="false">IF(B32="","",IF(G32&lt;=0,"AGOTADO",IF(G32&lt;=H32,"REPONER","OK")))</f>
        <v/>
      </c>
      <c r="J32" s="11" t="str">
        <f aca="false">IF(B32="","",N(Productos!F32))</f>
        <v/>
      </c>
      <c r="K32" s="11" t="str">
        <f aca="false">IF(B32="","",G32*J32)</f>
        <v/>
      </c>
      <c r="L32" s="11" t="str">
        <f aca="false">IF(B32="","",G32*N(Productos!G32))</f>
        <v/>
      </c>
    </row>
    <row r="33" customFormat="false" ht="15" hidden="false" customHeight="false" outlineLevel="0" collapsed="false">
      <c r="A33" s="7" t="str">
        <f aca="false">IF(Productos!B33="","",Productos!A33)</f>
        <v/>
      </c>
      <c r="B33" s="7" t="str">
        <f aca="false">IF(Productos!B33="","",Productos!B33)</f>
        <v/>
      </c>
      <c r="C33" s="7" t="str">
        <f aca="false">IF(B33="","",Productos!C33)</f>
        <v/>
      </c>
      <c r="D33" s="10" t="str">
        <f aca="false">IF(B33="","",N(Productos!E33))</f>
        <v/>
      </c>
      <c r="E33" s="10" t="str">
        <f aca="false">IF(B33="","",SUMIFS(Compras!$E$5:$E$304,Compras!$B$5:$B$304,B33))</f>
        <v/>
      </c>
      <c r="F33" s="10" t="str">
        <f aca="false">IF(B33="","",SUMIFS(Ventas!$F$5:$F$504,Ventas!$C$5:$C$504,B33))</f>
        <v/>
      </c>
      <c r="G33" s="16" t="str">
        <f aca="false">IF(B33="","",D33+E33-F33)</f>
        <v/>
      </c>
      <c r="H33" s="10" t="str">
        <f aca="false">IF(B33="","",N(Productos!J33))</f>
        <v/>
      </c>
      <c r="I33" s="24" t="str">
        <f aca="false">IF(B33="","",IF(G33&lt;=0,"AGOTADO",IF(G33&lt;=H33,"REPONER","OK")))</f>
        <v/>
      </c>
      <c r="J33" s="11" t="str">
        <f aca="false">IF(B33="","",N(Productos!F33))</f>
        <v/>
      </c>
      <c r="K33" s="11" t="str">
        <f aca="false">IF(B33="","",G33*J33)</f>
        <v/>
      </c>
      <c r="L33" s="11" t="str">
        <f aca="false">IF(B33="","",G33*N(Productos!G33))</f>
        <v/>
      </c>
    </row>
    <row r="34" customFormat="false" ht="15" hidden="false" customHeight="false" outlineLevel="0" collapsed="false">
      <c r="A34" s="7" t="str">
        <f aca="false">IF(Productos!B34="","",Productos!A34)</f>
        <v/>
      </c>
      <c r="B34" s="7" t="str">
        <f aca="false">IF(Productos!B34="","",Productos!B34)</f>
        <v/>
      </c>
      <c r="C34" s="7" t="str">
        <f aca="false">IF(B34="","",Productos!C34)</f>
        <v/>
      </c>
      <c r="D34" s="10" t="str">
        <f aca="false">IF(B34="","",N(Productos!E34))</f>
        <v/>
      </c>
      <c r="E34" s="10" t="str">
        <f aca="false">IF(B34="","",SUMIFS(Compras!$E$5:$E$304,Compras!$B$5:$B$304,B34))</f>
        <v/>
      </c>
      <c r="F34" s="10" t="str">
        <f aca="false">IF(B34="","",SUMIFS(Ventas!$F$5:$F$504,Ventas!$C$5:$C$504,B34))</f>
        <v/>
      </c>
      <c r="G34" s="16" t="str">
        <f aca="false">IF(B34="","",D34+E34-F34)</f>
        <v/>
      </c>
      <c r="H34" s="10" t="str">
        <f aca="false">IF(B34="","",N(Productos!J34))</f>
        <v/>
      </c>
      <c r="I34" s="24" t="str">
        <f aca="false">IF(B34="","",IF(G34&lt;=0,"AGOTADO",IF(G34&lt;=H34,"REPONER","OK")))</f>
        <v/>
      </c>
      <c r="J34" s="11" t="str">
        <f aca="false">IF(B34="","",N(Productos!F34))</f>
        <v/>
      </c>
      <c r="K34" s="11" t="str">
        <f aca="false">IF(B34="","",G34*J34)</f>
        <v/>
      </c>
      <c r="L34" s="11" t="str">
        <f aca="false">IF(B34="","",G34*N(Productos!G34))</f>
        <v/>
      </c>
    </row>
    <row r="35" customFormat="false" ht="15" hidden="false" customHeight="false" outlineLevel="0" collapsed="false">
      <c r="A35" s="7" t="str">
        <f aca="false">IF(Productos!B35="","",Productos!A35)</f>
        <v/>
      </c>
      <c r="B35" s="7" t="str">
        <f aca="false">IF(Productos!B35="","",Productos!B35)</f>
        <v/>
      </c>
      <c r="C35" s="7" t="str">
        <f aca="false">IF(B35="","",Productos!C35)</f>
        <v/>
      </c>
      <c r="D35" s="10" t="str">
        <f aca="false">IF(B35="","",N(Productos!E35))</f>
        <v/>
      </c>
      <c r="E35" s="10" t="str">
        <f aca="false">IF(B35="","",SUMIFS(Compras!$E$5:$E$304,Compras!$B$5:$B$304,B35))</f>
        <v/>
      </c>
      <c r="F35" s="10" t="str">
        <f aca="false">IF(B35="","",SUMIFS(Ventas!$F$5:$F$504,Ventas!$C$5:$C$504,B35))</f>
        <v/>
      </c>
      <c r="G35" s="16" t="str">
        <f aca="false">IF(B35="","",D35+E35-F35)</f>
        <v/>
      </c>
      <c r="H35" s="10" t="str">
        <f aca="false">IF(B35="","",N(Productos!J35))</f>
        <v/>
      </c>
      <c r="I35" s="24" t="str">
        <f aca="false">IF(B35="","",IF(G35&lt;=0,"AGOTADO",IF(G35&lt;=H35,"REPONER","OK")))</f>
        <v/>
      </c>
      <c r="J35" s="11" t="str">
        <f aca="false">IF(B35="","",N(Productos!F35))</f>
        <v/>
      </c>
      <c r="K35" s="11" t="str">
        <f aca="false">IF(B35="","",G35*J35)</f>
        <v/>
      </c>
      <c r="L35" s="11" t="str">
        <f aca="false">IF(B35="","",G35*N(Productos!G35))</f>
        <v/>
      </c>
    </row>
    <row r="36" customFormat="false" ht="15" hidden="false" customHeight="false" outlineLevel="0" collapsed="false">
      <c r="A36" s="7" t="str">
        <f aca="false">IF(Productos!B36="","",Productos!A36)</f>
        <v/>
      </c>
      <c r="B36" s="7" t="str">
        <f aca="false">IF(Productos!B36="","",Productos!B36)</f>
        <v/>
      </c>
      <c r="C36" s="7" t="str">
        <f aca="false">IF(B36="","",Productos!C36)</f>
        <v/>
      </c>
      <c r="D36" s="10" t="str">
        <f aca="false">IF(B36="","",N(Productos!E36))</f>
        <v/>
      </c>
      <c r="E36" s="10" t="str">
        <f aca="false">IF(B36="","",SUMIFS(Compras!$E$5:$E$304,Compras!$B$5:$B$304,B36))</f>
        <v/>
      </c>
      <c r="F36" s="10" t="str">
        <f aca="false">IF(B36="","",SUMIFS(Ventas!$F$5:$F$504,Ventas!$C$5:$C$504,B36))</f>
        <v/>
      </c>
      <c r="G36" s="16" t="str">
        <f aca="false">IF(B36="","",D36+E36-F36)</f>
        <v/>
      </c>
      <c r="H36" s="10" t="str">
        <f aca="false">IF(B36="","",N(Productos!J36))</f>
        <v/>
      </c>
      <c r="I36" s="24" t="str">
        <f aca="false">IF(B36="","",IF(G36&lt;=0,"AGOTADO",IF(G36&lt;=H36,"REPONER","OK")))</f>
        <v/>
      </c>
      <c r="J36" s="11" t="str">
        <f aca="false">IF(B36="","",N(Productos!F36))</f>
        <v/>
      </c>
      <c r="K36" s="11" t="str">
        <f aca="false">IF(B36="","",G36*J36)</f>
        <v/>
      </c>
      <c r="L36" s="11" t="str">
        <f aca="false">IF(B36="","",G36*N(Productos!G36))</f>
        <v/>
      </c>
    </row>
    <row r="37" customFormat="false" ht="15" hidden="false" customHeight="false" outlineLevel="0" collapsed="false">
      <c r="A37" s="7" t="str">
        <f aca="false">IF(Productos!B37="","",Productos!A37)</f>
        <v/>
      </c>
      <c r="B37" s="7" t="str">
        <f aca="false">IF(Productos!B37="","",Productos!B37)</f>
        <v/>
      </c>
      <c r="C37" s="7" t="str">
        <f aca="false">IF(B37="","",Productos!C37)</f>
        <v/>
      </c>
      <c r="D37" s="10" t="str">
        <f aca="false">IF(B37="","",N(Productos!E37))</f>
        <v/>
      </c>
      <c r="E37" s="10" t="str">
        <f aca="false">IF(B37="","",SUMIFS(Compras!$E$5:$E$304,Compras!$B$5:$B$304,B37))</f>
        <v/>
      </c>
      <c r="F37" s="10" t="str">
        <f aca="false">IF(B37="","",SUMIFS(Ventas!$F$5:$F$504,Ventas!$C$5:$C$504,B37))</f>
        <v/>
      </c>
      <c r="G37" s="16" t="str">
        <f aca="false">IF(B37="","",D37+E37-F37)</f>
        <v/>
      </c>
      <c r="H37" s="10" t="str">
        <f aca="false">IF(B37="","",N(Productos!J37))</f>
        <v/>
      </c>
      <c r="I37" s="24" t="str">
        <f aca="false">IF(B37="","",IF(G37&lt;=0,"AGOTADO",IF(G37&lt;=H37,"REPONER","OK")))</f>
        <v/>
      </c>
      <c r="J37" s="11" t="str">
        <f aca="false">IF(B37="","",N(Productos!F37))</f>
        <v/>
      </c>
      <c r="K37" s="11" t="str">
        <f aca="false">IF(B37="","",G37*J37)</f>
        <v/>
      </c>
      <c r="L37" s="11" t="str">
        <f aca="false">IF(B37="","",G37*N(Productos!G37))</f>
        <v/>
      </c>
    </row>
    <row r="38" customFormat="false" ht="15" hidden="false" customHeight="false" outlineLevel="0" collapsed="false">
      <c r="A38" s="7" t="str">
        <f aca="false">IF(Productos!B38="","",Productos!A38)</f>
        <v/>
      </c>
      <c r="B38" s="7" t="str">
        <f aca="false">IF(Productos!B38="","",Productos!B38)</f>
        <v/>
      </c>
      <c r="C38" s="7" t="str">
        <f aca="false">IF(B38="","",Productos!C38)</f>
        <v/>
      </c>
      <c r="D38" s="10" t="str">
        <f aca="false">IF(B38="","",N(Productos!E38))</f>
        <v/>
      </c>
      <c r="E38" s="10" t="str">
        <f aca="false">IF(B38="","",SUMIFS(Compras!$E$5:$E$304,Compras!$B$5:$B$304,B38))</f>
        <v/>
      </c>
      <c r="F38" s="10" t="str">
        <f aca="false">IF(B38="","",SUMIFS(Ventas!$F$5:$F$504,Ventas!$C$5:$C$504,B38))</f>
        <v/>
      </c>
      <c r="G38" s="16" t="str">
        <f aca="false">IF(B38="","",D38+E38-F38)</f>
        <v/>
      </c>
      <c r="H38" s="10" t="str">
        <f aca="false">IF(B38="","",N(Productos!J38))</f>
        <v/>
      </c>
      <c r="I38" s="24" t="str">
        <f aca="false">IF(B38="","",IF(G38&lt;=0,"AGOTADO",IF(G38&lt;=H38,"REPONER","OK")))</f>
        <v/>
      </c>
      <c r="J38" s="11" t="str">
        <f aca="false">IF(B38="","",N(Productos!F38))</f>
        <v/>
      </c>
      <c r="K38" s="11" t="str">
        <f aca="false">IF(B38="","",G38*J38)</f>
        <v/>
      </c>
      <c r="L38" s="11" t="str">
        <f aca="false">IF(B38="","",G38*N(Productos!G38))</f>
        <v/>
      </c>
    </row>
    <row r="39" customFormat="false" ht="15" hidden="false" customHeight="false" outlineLevel="0" collapsed="false">
      <c r="A39" s="7" t="str">
        <f aca="false">IF(Productos!B39="","",Productos!A39)</f>
        <v/>
      </c>
      <c r="B39" s="7" t="str">
        <f aca="false">IF(Productos!B39="","",Productos!B39)</f>
        <v/>
      </c>
      <c r="C39" s="7" t="str">
        <f aca="false">IF(B39="","",Productos!C39)</f>
        <v/>
      </c>
      <c r="D39" s="10" t="str">
        <f aca="false">IF(B39="","",N(Productos!E39))</f>
        <v/>
      </c>
      <c r="E39" s="10" t="str">
        <f aca="false">IF(B39="","",SUMIFS(Compras!$E$5:$E$304,Compras!$B$5:$B$304,B39))</f>
        <v/>
      </c>
      <c r="F39" s="10" t="str">
        <f aca="false">IF(B39="","",SUMIFS(Ventas!$F$5:$F$504,Ventas!$C$5:$C$504,B39))</f>
        <v/>
      </c>
      <c r="G39" s="16" t="str">
        <f aca="false">IF(B39="","",D39+E39-F39)</f>
        <v/>
      </c>
      <c r="H39" s="10" t="str">
        <f aca="false">IF(B39="","",N(Productos!J39))</f>
        <v/>
      </c>
      <c r="I39" s="24" t="str">
        <f aca="false">IF(B39="","",IF(G39&lt;=0,"AGOTADO",IF(G39&lt;=H39,"REPONER","OK")))</f>
        <v/>
      </c>
      <c r="J39" s="11" t="str">
        <f aca="false">IF(B39="","",N(Productos!F39))</f>
        <v/>
      </c>
      <c r="K39" s="11" t="str">
        <f aca="false">IF(B39="","",G39*J39)</f>
        <v/>
      </c>
      <c r="L39" s="11" t="str">
        <f aca="false">IF(B39="","",G39*N(Productos!G39))</f>
        <v/>
      </c>
    </row>
    <row r="40" customFormat="false" ht="15" hidden="false" customHeight="false" outlineLevel="0" collapsed="false">
      <c r="A40" s="7" t="str">
        <f aca="false">IF(Productos!B40="","",Productos!A40)</f>
        <v/>
      </c>
      <c r="B40" s="7" t="str">
        <f aca="false">IF(Productos!B40="","",Productos!B40)</f>
        <v/>
      </c>
      <c r="C40" s="7" t="str">
        <f aca="false">IF(B40="","",Productos!C40)</f>
        <v/>
      </c>
      <c r="D40" s="10" t="str">
        <f aca="false">IF(B40="","",N(Productos!E40))</f>
        <v/>
      </c>
      <c r="E40" s="10" t="str">
        <f aca="false">IF(B40="","",SUMIFS(Compras!$E$5:$E$304,Compras!$B$5:$B$304,B40))</f>
        <v/>
      </c>
      <c r="F40" s="10" t="str">
        <f aca="false">IF(B40="","",SUMIFS(Ventas!$F$5:$F$504,Ventas!$C$5:$C$504,B40))</f>
        <v/>
      </c>
      <c r="G40" s="16" t="str">
        <f aca="false">IF(B40="","",D40+E40-F40)</f>
        <v/>
      </c>
      <c r="H40" s="10" t="str">
        <f aca="false">IF(B40="","",N(Productos!J40))</f>
        <v/>
      </c>
      <c r="I40" s="24" t="str">
        <f aca="false">IF(B40="","",IF(G40&lt;=0,"AGOTADO",IF(G40&lt;=H40,"REPONER","OK")))</f>
        <v/>
      </c>
      <c r="J40" s="11" t="str">
        <f aca="false">IF(B40="","",N(Productos!F40))</f>
        <v/>
      </c>
      <c r="K40" s="11" t="str">
        <f aca="false">IF(B40="","",G40*J40)</f>
        <v/>
      </c>
      <c r="L40" s="11" t="str">
        <f aca="false">IF(B40="","",G40*N(Productos!G40))</f>
        <v/>
      </c>
    </row>
    <row r="41" customFormat="false" ht="15" hidden="false" customHeight="false" outlineLevel="0" collapsed="false">
      <c r="A41" s="7" t="str">
        <f aca="false">IF(Productos!B41="","",Productos!A41)</f>
        <v/>
      </c>
      <c r="B41" s="7" t="str">
        <f aca="false">IF(Productos!B41="","",Productos!B41)</f>
        <v/>
      </c>
      <c r="C41" s="7" t="str">
        <f aca="false">IF(B41="","",Productos!C41)</f>
        <v/>
      </c>
      <c r="D41" s="10" t="str">
        <f aca="false">IF(B41="","",N(Productos!E41))</f>
        <v/>
      </c>
      <c r="E41" s="10" t="str">
        <f aca="false">IF(B41="","",SUMIFS(Compras!$E$5:$E$304,Compras!$B$5:$B$304,B41))</f>
        <v/>
      </c>
      <c r="F41" s="10" t="str">
        <f aca="false">IF(B41="","",SUMIFS(Ventas!$F$5:$F$504,Ventas!$C$5:$C$504,B41))</f>
        <v/>
      </c>
      <c r="G41" s="16" t="str">
        <f aca="false">IF(B41="","",D41+E41-F41)</f>
        <v/>
      </c>
      <c r="H41" s="10" t="str">
        <f aca="false">IF(B41="","",N(Productos!J41))</f>
        <v/>
      </c>
      <c r="I41" s="24" t="str">
        <f aca="false">IF(B41="","",IF(G41&lt;=0,"AGOTADO",IF(G41&lt;=H41,"REPONER","OK")))</f>
        <v/>
      </c>
      <c r="J41" s="11" t="str">
        <f aca="false">IF(B41="","",N(Productos!F41))</f>
        <v/>
      </c>
      <c r="K41" s="11" t="str">
        <f aca="false">IF(B41="","",G41*J41)</f>
        <v/>
      </c>
      <c r="L41" s="11" t="str">
        <f aca="false">IF(B41="","",G41*N(Productos!G41))</f>
        <v/>
      </c>
    </row>
    <row r="42" customFormat="false" ht="15" hidden="false" customHeight="false" outlineLevel="0" collapsed="false">
      <c r="A42" s="7" t="str">
        <f aca="false">IF(Productos!B42="","",Productos!A42)</f>
        <v/>
      </c>
      <c r="B42" s="7" t="str">
        <f aca="false">IF(Productos!B42="","",Productos!B42)</f>
        <v/>
      </c>
      <c r="C42" s="7" t="str">
        <f aca="false">IF(B42="","",Productos!C42)</f>
        <v/>
      </c>
      <c r="D42" s="10" t="str">
        <f aca="false">IF(B42="","",N(Productos!E42))</f>
        <v/>
      </c>
      <c r="E42" s="10" t="str">
        <f aca="false">IF(B42="","",SUMIFS(Compras!$E$5:$E$304,Compras!$B$5:$B$304,B42))</f>
        <v/>
      </c>
      <c r="F42" s="10" t="str">
        <f aca="false">IF(B42="","",SUMIFS(Ventas!$F$5:$F$504,Ventas!$C$5:$C$504,B42))</f>
        <v/>
      </c>
      <c r="G42" s="16" t="str">
        <f aca="false">IF(B42="","",D42+E42-F42)</f>
        <v/>
      </c>
      <c r="H42" s="10" t="str">
        <f aca="false">IF(B42="","",N(Productos!J42))</f>
        <v/>
      </c>
      <c r="I42" s="24" t="str">
        <f aca="false">IF(B42="","",IF(G42&lt;=0,"AGOTADO",IF(G42&lt;=H42,"REPONER","OK")))</f>
        <v/>
      </c>
      <c r="J42" s="11" t="str">
        <f aca="false">IF(B42="","",N(Productos!F42))</f>
        <v/>
      </c>
      <c r="K42" s="11" t="str">
        <f aca="false">IF(B42="","",G42*J42)</f>
        <v/>
      </c>
      <c r="L42" s="11" t="str">
        <f aca="false">IF(B42="","",G42*N(Productos!G42))</f>
        <v/>
      </c>
    </row>
    <row r="43" customFormat="false" ht="15" hidden="false" customHeight="false" outlineLevel="0" collapsed="false">
      <c r="A43" s="7" t="str">
        <f aca="false">IF(Productos!B43="","",Productos!A43)</f>
        <v/>
      </c>
      <c r="B43" s="7" t="str">
        <f aca="false">IF(Productos!B43="","",Productos!B43)</f>
        <v/>
      </c>
      <c r="C43" s="7" t="str">
        <f aca="false">IF(B43="","",Productos!C43)</f>
        <v/>
      </c>
      <c r="D43" s="10" t="str">
        <f aca="false">IF(B43="","",N(Productos!E43))</f>
        <v/>
      </c>
      <c r="E43" s="10" t="str">
        <f aca="false">IF(B43="","",SUMIFS(Compras!$E$5:$E$304,Compras!$B$5:$B$304,B43))</f>
        <v/>
      </c>
      <c r="F43" s="10" t="str">
        <f aca="false">IF(B43="","",SUMIFS(Ventas!$F$5:$F$504,Ventas!$C$5:$C$504,B43))</f>
        <v/>
      </c>
      <c r="G43" s="16" t="str">
        <f aca="false">IF(B43="","",D43+E43-F43)</f>
        <v/>
      </c>
      <c r="H43" s="10" t="str">
        <f aca="false">IF(B43="","",N(Productos!J43))</f>
        <v/>
      </c>
      <c r="I43" s="24" t="str">
        <f aca="false">IF(B43="","",IF(G43&lt;=0,"AGOTADO",IF(G43&lt;=H43,"REPONER","OK")))</f>
        <v/>
      </c>
      <c r="J43" s="11" t="str">
        <f aca="false">IF(B43="","",N(Productos!F43))</f>
        <v/>
      </c>
      <c r="K43" s="11" t="str">
        <f aca="false">IF(B43="","",G43*J43)</f>
        <v/>
      </c>
      <c r="L43" s="11" t="str">
        <f aca="false">IF(B43="","",G43*N(Productos!G43))</f>
        <v/>
      </c>
    </row>
    <row r="44" customFormat="false" ht="15" hidden="false" customHeight="false" outlineLevel="0" collapsed="false">
      <c r="A44" s="7" t="str">
        <f aca="false">IF(Productos!B44="","",Productos!A44)</f>
        <v/>
      </c>
      <c r="B44" s="7" t="str">
        <f aca="false">IF(Productos!B44="","",Productos!B44)</f>
        <v/>
      </c>
      <c r="C44" s="7" t="str">
        <f aca="false">IF(B44="","",Productos!C44)</f>
        <v/>
      </c>
      <c r="D44" s="10" t="str">
        <f aca="false">IF(B44="","",N(Productos!E44))</f>
        <v/>
      </c>
      <c r="E44" s="10" t="str">
        <f aca="false">IF(B44="","",SUMIFS(Compras!$E$5:$E$304,Compras!$B$5:$B$304,B44))</f>
        <v/>
      </c>
      <c r="F44" s="10" t="str">
        <f aca="false">IF(B44="","",SUMIFS(Ventas!$F$5:$F$504,Ventas!$C$5:$C$504,B44))</f>
        <v/>
      </c>
      <c r="G44" s="16" t="str">
        <f aca="false">IF(B44="","",D44+E44-F44)</f>
        <v/>
      </c>
      <c r="H44" s="10" t="str">
        <f aca="false">IF(B44="","",N(Productos!J44))</f>
        <v/>
      </c>
      <c r="I44" s="24" t="str">
        <f aca="false">IF(B44="","",IF(G44&lt;=0,"AGOTADO",IF(G44&lt;=H44,"REPONER","OK")))</f>
        <v/>
      </c>
      <c r="J44" s="11" t="str">
        <f aca="false">IF(B44="","",N(Productos!F44))</f>
        <v/>
      </c>
      <c r="K44" s="11" t="str">
        <f aca="false">IF(B44="","",G44*J44)</f>
        <v/>
      </c>
      <c r="L44" s="11" t="str">
        <f aca="false">IF(B44="","",G44*N(Productos!G44))</f>
        <v/>
      </c>
    </row>
    <row r="45" customFormat="false" ht="15" hidden="false" customHeight="false" outlineLevel="0" collapsed="false">
      <c r="A45" s="7" t="str">
        <f aca="false">IF(Productos!B45="","",Productos!A45)</f>
        <v/>
      </c>
      <c r="B45" s="7" t="str">
        <f aca="false">IF(Productos!B45="","",Productos!B45)</f>
        <v/>
      </c>
      <c r="C45" s="7" t="str">
        <f aca="false">IF(B45="","",Productos!C45)</f>
        <v/>
      </c>
      <c r="D45" s="10" t="str">
        <f aca="false">IF(B45="","",N(Productos!E45))</f>
        <v/>
      </c>
      <c r="E45" s="10" t="str">
        <f aca="false">IF(B45="","",SUMIFS(Compras!$E$5:$E$304,Compras!$B$5:$B$304,B45))</f>
        <v/>
      </c>
      <c r="F45" s="10" t="str">
        <f aca="false">IF(B45="","",SUMIFS(Ventas!$F$5:$F$504,Ventas!$C$5:$C$504,B45))</f>
        <v/>
      </c>
      <c r="G45" s="16" t="str">
        <f aca="false">IF(B45="","",D45+E45-F45)</f>
        <v/>
      </c>
      <c r="H45" s="10" t="str">
        <f aca="false">IF(B45="","",N(Productos!J45))</f>
        <v/>
      </c>
      <c r="I45" s="24" t="str">
        <f aca="false">IF(B45="","",IF(G45&lt;=0,"AGOTADO",IF(G45&lt;=H45,"REPONER","OK")))</f>
        <v/>
      </c>
      <c r="J45" s="11" t="str">
        <f aca="false">IF(B45="","",N(Productos!F45))</f>
        <v/>
      </c>
      <c r="K45" s="11" t="str">
        <f aca="false">IF(B45="","",G45*J45)</f>
        <v/>
      </c>
      <c r="L45" s="11" t="str">
        <f aca="false">IF(B45="","",G45*N(Productos!G45))</f>
        <v/>
      </c>
    </row>
    <row r="46" customFormat="false" ht="15" hidden="false" customHeight="false" outlineLevel="0" collapsed="false">
      <c r="A46" s="7" t="str">
        <f aca="false">IF(Productos!B46="","",Productos!A46)</f>
        <v/>
      </c>
      <c r="B46" s="7" t="str">
        <f aca="false">IF(Productos!B46="","",Productos!B46)</f>
        <v/>
      </c>
      <c r="C46" s="7" t="str">
        <f aca="false">IF(B46="","",Productos!C46)</f>
        <v/>
      </c>
      <c r="D46" s="10" t="str">
        <f aca="false">IF(B46="","",N(Productos!E46))</f>
        <v/>
      </c>
      <c r="E46" s="10" t="str">
        <f aca="false">IF(B46="","",SUMIFS(Compras!$E$5:$E$304,Compras!$B$5:$B$304,B46))</f>
        <v/>
      </c>
      <c r="F46" s="10" t="str">
        <f aca="false">IF(B46="","",SUMIFS(Ventas!$F$5:$F$504,Ventas!$C$5:$C$504,B46))</f>
        <v/>
      </c>
      <c r="G46" s="16" t="str">
        <f aca="false">IF(B46="","",D46+E46-F46)</f>
        <v/>
      </c>
      <c r="H46" s="10" t="str">
        <f aca="false">IF(B46="","",N(Productos!J46))</f>
        <v/>
      </c>
      <c r="I46" s="24" t="str">
        <f aca="false">IF(B46="","",IF(G46&lt;=0,"AGOTADO",IF(G46&lt;=H46,"REPONER","OK")))</f>
        <v/>
      </c>
      <c r="J46" s="11" t="str">
        <f aca="false">IF(B46="","",N(Productos!F46))</f>
        <v/>
      </c>
      <c r="K46" s="11" t="str">
        <f aca="false">IF(B46="","",G46*J46)</f>
        <v/>
      </c>
      <c r="L46" s="11" t="str">
        <f aca="false">IF(B46="","",G46*N(Productos!G46))</f>
        <v/>
      </c>
    </row>
    <row r="47" customFormat="false" ht="15" hidden="false" customHeight="false" outlineLevel="0" collapsed="false">
      <c r="A47" s="7" t="str">
        <f aca="false">IF(Productos!B47="","",Productos!A47)</f>
        <v/>
      </c>
      <c r="B47" s="7" t="str">
        <f aca="false">IF(Productos!B47="","",Productos!B47)</f>
        <v/>
      </c>
      <c r="C47" s="7" t="str">
        <f aca="false">IF(B47="","",Productos!C47)</f>
        <v/>
      </c>
      <c r="D47" s="10" t="str">
        <f aca="false">IF(B47="","",N(Productos!E47))</f>
        <v/>
      </c>
      <c r="E47" s="10" t="str">
        <f aca="false">IF(B47="","",SUMIFS(Compras!$E$5:$E$304,Compras!$B$5:$B$304,B47))</f>
        <v/>
      </c>
      <c r="F47" s="10" t="str">
        <f aca="false">IF(B47="","",SUMIFS(Ventas!$F$5:$F$504,Ventas!$C$5:$C$504,B47))</f>
        <v/>
      </c>
      <c r="G47" s="16" t="str">
        <f aca="false">IF(B47="","",D47+E47-F47)</f>
        <v/>
      </c>
      <c r="H47" s="10" t="str">
        <f aca="false">IF(B47="","",N(Productos!J47))</f>
        <v/>
      </c>
      <c r="I47" s="24" t="str">
        <f aca="false">IF(B47="","",IF(G47&lt;=0,"AGOTADO",IF(G47&lt;=H47,"REPONER","OK")))</f>
        <v/>
      </c>
      <c r="J47" s="11" t="str">
        <f aca="false">IF(B47="","",N(Productos!F47))</f>
        <v/>
      </c>
      <c r="K47" s="11" t="str">
        <f aca="false">IF(B47="","",G47*J47)</f>
        <v/>
      </c>
      <c r="L47" s="11" t="str">
        <f aca="false">IF(B47="","",G47*N(Productos!G47))</f>
        <v/>
      </c>
    </row>
    <row r="48" customFormat="false" ht="15" hidden="false" customHeight="false" outlineLevel="0" collapsed="false">
      <c r="A48" s="7" t="str">
        <f aca="false">IF(Productos!B48="","",Productos!A48)</f>
        <v/>
      </c>
      <c r="B48" s="7" t="str">
        <f aca="false">IF(Productos!B48="","",Productos!B48)</f>
        <v/>
      </c>
      <c r="C48" s="7" t="str">
        <f aca="false">IF(B48="","",Productos!C48)</f>
        <v/>
      </c>
      <c r="D48" s="10" t="str">
        <f aca="false">IF(B48="","",N(Productos!E48))</f>
        <v/>
      </c>
      <c r="E48" s="10" t="str">
        <f aca="false">IF(B48="","",SUMIFS(Compras!$E$5:$E$304,Compras!$B$5:$B$304,B48))</f>
        <v/>
      </c>
      <c r="F48" s="10" t="str">
        <f aca="false">IF(B48="","",SUMIFS(Ventas!$F$5:$F$504,Ventas!$C$5:$C$504,B48))</f>
        <v/>
      </c>
      <c r="G48" s="16" t="str">
        <f aca="false">IF(B48="","",D48+E48-F48)</f>
        <v/>
      </c>
      <c r="H48" s="10" t="str">
        <f aca="false">IF(B48="","",N(Productos!J48))</f>
        <v/>
      </c>
      <c r="I48" s="24" t="str">
        <f aca="false">IF(B48="","",IF(G48&lt;=0,"AGOTADO",IF(G48&lt;=H48,"REPONER","OK")))</f>
        <v/>
      </c>
      <c r="J48" s="11" t="str">
        <f aca="false">IF(B48="","",N(Productos!F48))</f>
        <v/>
      </c>
      <c r="K48" s="11" t="str">
        <f aca="false">IF(B48="","",G48*J48)</f>
        <v/>
      </c>
      <c r="L48" s="11" t="str">
        <f aca="false">IF(B48="","",G48*N(Productos!G48))</f>
        <v/>
      </c>
    </row>
    <row r="49" customFormat="false" ht="15" hidden="false" customHeight="false" outlineLevel="0" collapsed="false">
      <c r="A49" s="7" t="str">
        <f aca="false">IF(Productos!B49="","",Productos!A49)</f>
        <v/>
      </c>
      <c r="B49" s="7" t="str">
        <f aca="false">IF(Productos!B49="","",Productos!B49)</f>
        <v/>
      </c>
      <c r="C49" s="7" t="str">
        <f aca="false">IF(B49="","",Productos!C49)</f>
        <v/>
      </c>
      <c r="D49" s="10" t="str">
        <f aca="false">IF(B49="","",N(Productos!E49))</f>
        <v/>
      </c>
      <c r="E49" s="10" t="str">
        <f aca="false">IF(B49="","",SUMIFS(Compras!$E$5:$E$304,Compras!$B$5:$B$304,B49))</f>
        <v/>
      </c>
      <c r="F49" s="10" t="str">
        <f aca="false">IF(B49="","",SUMIFS(Ventas!$F$5:$F$504,Ventas!$C$5:$C$504,B49))</f>
        <v/>
      </c>
      <c r="G49" s="16" t="str">
        <f aca="false">IF(B49="","",D49+E49-F49)</f>
        <v/>
      </c>
      <c r="H49" s="10" t="str">
        <f aca="false">IF(B49="","",N(Productos!J49))</f>
        <v/>
      </c>
      <c r="I49" s="24" t="str">
        <f aca="false">IF(B49="","",IF(G49&lt;=0,"AGOTADO",IF(G49&lt;=H49,"REPONER","OK")))</f>
        <v/>
      </c>
      <c r="J49" s="11" t="str">
        <f aca="false">IF(B49="","",N(Productos!F49))</f>
        <v/>
      </c>
      <c r="K49" s="11" t="str">
        <f aca="false">IF(B49="","",G49*J49)</f>
        <v/>
      </c>
      <c r="L49" s="11" t="str">
        <f aca="false">IF(B49="","",G49*N(Productos!G49))</f>
        <v/>
      </c>
    </row>
    <row r="50" customFormat="false" ht="15" hidden="false" customHeight="false" outlineLevel="0" collapsed="false">
      <c r="A50" s="7" t="str">
        <f aca="false">IF(Productos!B50="","",Productos!A50)</f>
        <v/>
      </c>
      <c r="B50" s="7" t="str">
        <f aca="false">IF(Productos!B50="","",Productos!B50)</f>
        <v/>
      </c>
      <c r="C50" s="7" t="str">
        <f aca="false">IF(B50="","",Productos!C50)</f>
        <v/>
      </c>
      <c r="D50" s="10" t="str">
        <f aca="false">IF(B50="","",N(Productos!E50))</f>
        <v/>
      </c>
      <c r="E50" s="10" t="str">
        <f aca="false">IF(B50="","",SUMIFS(Compras!$E$5:$E$304,Compras!$B$5:$B$304,B50))</f>
        <v/>
      </c>
      <c r="F50" s="10" t="str">
        <f aca="false">IF(B50="","",SUMIFS(Ventas!$F$5:$F$504,Ventas!$C$5:$C$504,B50))</f>
        <v/>
      </c>
      <c r="G50" s="16" t="str">
        <f aca="false">IF(B50="","",D50+E50-F50)</f>
        <v/>
      </c>
      <c r="H50" s="10" t="str">
        <f aca="false">IF(B50="","",N(Productos!J50))</f>
        <v/>
      </c>
      <c r="I50" s="24" t="str">
        <f aca="false">IF(B50="","",IF(G50&lt;=0,"AGOTADO",IF(G50&lt;=H50,"REPONER","OK")))</f>
        <v/>
      </c>
      <c r="J50" s="11" t="str">
        <f aca="false">IF(B50="","",N(Productos!F50))</f>
        <v/>
      </c>
      <c r="K50" s="11" t="str">
        <f aca="false">IF(B50="","",G50*J50)</f>
        <v/>
      </c>
      <c r="L50" s="11" t="str">
        <f aca="false">IF(B50="","",G50*N(Productos!G50))</f>
        <v/>
      </c>
    </row>
    <row r="51" customFormat="false" ht="15" hidden="false" customHeight="false" outlineLevel="0" collapsed="false">
      <c r="A51" s="7" t="str">
        <f aca="false">IF(Productos!B51="","",Productos!A51)</f>
        <v/>
      </c>
      <c r="B51" s="7" t="str">
        <f aca="false">IF(Productos!B51="","",Productos!B51)</f>
        <v/>
      </c>
      <c r="C51" s="7" t="str">
        <f aca="false">IF(B51="","",Productos!C51)</f>
        <v/>
      </c>
      <c r="D51" s="10" t="str">
        <f aca="false">IF(B51="","",N(Productos!E51))</f>
        <v/>
      </c>
      <c r="E51" s="10" t="str">
        <f aca="false">IF(B51="","",SUMIFS(Compras!$E$5:$E$304,Compras!$B$5:$B$304,B51))</f>
        <v/>
      </c>
      <c r="F51" s="10" t="str">
        <f aca="false">IF(B51="","",SUMIFS(Ventas!$F$5:$F$504,Ventas!$C$5:$C$504,B51))</f>
        <v/>
      </c>
      <c r="G51" s="16" t="str">
        <f aca="false">IF(B51="","",D51+E51-F51)</f>
        <v/>
      </c>
      <c r="H51" s="10" t="str">
        <f aca="false">IF(B51="","",N(Productos!J51))</f>
        <v/>
      </c>
      <c r="I51" s="24" t="str">
        <f aca="false">IF(B51="","",IF(G51&lt;=0,"AGOTADO",IF(G51&lt;=H51,"REPONER","OK")))</f>
        <v/>
      </c>
      <c r="J51" s="11" t="str">
        <f aca="false">IF(B51="","",N(Productos!F51))</f>
        <v/>
      </c>
      <c r="K51" s="11" t="str">
        <f aca="false">IF(B51="","",G51*J51)</f>
        <v/>
      </c>
      <c r="L51" s="11" t="str">
        <f aca="false">IF(B51="","",G51*N(Productos!G51))</f>
        <v/>
      </c>
    </row>
    <row r="52" customFormat="false" ht="15" hidden="false" customHeight="false" outlineLevel="0" collapsed="false">
      <c r="A52" s="7" t="str">
        <f aca="false">IF(Productos!B52="","",Productos!A52)</f>
        <v/>
      </c>
      <c r="B52" s="7" t="str">
        <f aca="false">IF(Productos!B52="","",Productos!B52)</f>
        <v/>
      </c>
      <c r="C52" s="7" t="str">
        <f aca="false">IF(B52="","",Productos!C52)</f>
        <v/>
      </c>
      <c r="D52" s="10" t="str">
        <f aca="false">IF(B52="","",N(Productos!E52))</f>
        <v/>
      </c>
      <c r="E52" s="10" t="str">
        <f aca="false">IF(B52="","",SUMIFS(Compras!$E$5:$E$304,Compras!$B$5:$B$304,B52))</f>
        <v/>
      </c>
      <c r="F52" s="10" t="str">
        <f aca="false">IF(B52="","",SUMIFS(Ventas!$F$5:$F$504,Ventas!$C$5:$C$504,B52))</f>
        <v/>
      </c>
      <c r="G52" s="16" t="str">
        <f aca="false">IF(B52="","",D52+E52-F52)</f>
        <v/>
      </c>
      <c r="H52" s="10" t="str">
        <f aca="false">IF(B52="","",N(Productos!J52))</f>
        <v/>
      </c>
      <c r="I52" s="24" t="str">
        <f aca="false">IF(B52="","",IF(G52&lt;=0,"AGOTADO",IF(G52&lt;=H52,"REPONER","OK")))</f>
        <v/>
      </c>
      <c r="J52" s="11" t="str">
        <f aca="false">IF(B52="","",N(Productos!F52))</f>
        <v/>
      </c>
      <c r="K52" s="11" t="str">
        <f aca="false">IF(B52="","",G52*J52)</f>
        <v/>
      </c>
      <c r="L52" s="11" t="str">
        <f aca="false">IF(B52="","",G52*N(Productos!G52))</f>
        <v/>
      </c>
    </row>
    <row r="53" customFormat="false" ht="15" hidden="false" customHeight="false" outlineLevel="0" collapsed="false">
      <c r="A53" s="7" t="str">
        <f aca="false">IF(Productos!B53="","",Productos!A53)</f>
        <v/>
      </c>
      <c r="B53" s="7" t="str">
        <f aca="false">IF(Productos!B53="","",Productos!B53)</f>
        <v/>
      </c>
      <c r="C53" s="7" t="str">
        <f aca="false">IF(B53="","",Productos!C53)</f>
        <v/>
      </c>
      <c r="D53" s="10" t="str">
        <f aca="false">IF(B53="","",N(Productos!E53))</f>
        <v/>
      </c>
      <c r="E53" s="10" t="str">
        <f aca="false">IF(B53="","",SUMIFS(Compras!$E$5:$E$304,Compras!$B$5:$B$304,B53))</f>
        <v/>
      </c>
      <c r="F53" s="10" t="str">
        <f aca="false">IF(B53="","",SUMIFS(Ventas!$F$5:$F$504,Ventas!$C$5:$C$504,B53))</f>
        <v/>
      </c>
      <c r="G53" s="16" t="str">
        <f aca="false">IF(B53="","",D53+E53-F53)</f>
        <v/>
      </c>
      <c r="H53" s="10" t="str">
        <f aca="false">IF(B53="","",N(Productos!J53))</f>
        <v/>
      </c>
      <c r="I53" s="24" t="str">
        <f aca="false">IF(B53="","",IF(G53&lt;=0,"AGOTADO",IF(G53&lt;=H53,"REPONER","OK")))</f>
        <v/>
      </c>
      <c r="J53" s="11" t="str">
        <f aca="false">IF(B53="","",N(Productos!F53))</f>
        <v/>
      </c>
      <c r="K53" s="11" t="str">
        <f aca="false">IF(B53="","",G53*J53)</f>
        <v/>
      </c>
      <c r="L53" s="11" t="str">
        <f aca="false">IF(B53="","",G53*N(Productos!G53))</f>
        <v/>
      </c>
    </row>
    <row r="54" customFormat="false" ht="15" hidden="false" customHeight="false" outlineLevel="0" collapsed="false">
      <c r="A54" s="7" t="str">
        <f aca="false">IF(Productos!B54="","",Productos!A54)</f>
        <v/>
      </c>
      <c r="B54" s="7" t="str">
        <f aca="false">IF(Productos!B54="","",Productos!B54)</f>
        <v/>
      </c>
      <c r="C54" s="7" t="str">
        <f aca="false">IF(B54="","",Productos!C54)</f>
        <v/>
      </c>
      <c r="D54" s="10" t="str">
        <f aca="false">IF(B54="","",N(Productos!E54))</f>
        <v/>
      </c>
      <c r="E54" s="10" t="str">
        <f aca="false">IF(B54="","",SUMIFS(Compras!$E$5:$E$304,Compras!$B$5:$B$304,B54))</f>
        <v/>
      </c>
      <c r="F54" s="10" t="str">
        <f aca="false">IF(B54="","",SUMIFS(Ventas!$F$5:$F$504,Ventas!$C$5:$C$504,B54))</f>
        <v/>
      </c>
      <c r="G54" s="16" t="str">
        <f aca="false">IF(B54="","",D54+E54-F54)</f>
        <v/>
      </c>
      <c r="H54" s="10" t="str">
        <f aca="false">IF(B54="","",N(Productos!J54))</f>
        <v/>
      </c>
      <c r="I54" s="24" t="str">
        <f aca="false">IF(B54="","",IF(G54&lt;=0,"AGOTADO",IF(G54&lt;=H54,"REPONER","OK")))</f>
        <v/>
      </c>
      <c r="J54" s="11" t="str">
        <f aca="false">IF(B54="","",N(Productos!F54))</f>
        <v/>
      </c>
      <c r="K54" s="11" t="str">
        <f aca="false">IF(B54="","",G54*J54)</f>
        <v/>
      </c>
      <c r="L54" s="11" t="str">
        <f aca="false">IF(B54="","",G54*N(Productos!G54))</f>
        <v/>
      </c>
    </row>
    <row r="55" customFormat="false" ht="15" hidden="false" customHeight="false" outlineLevel="0" collapsed="false">
      <c r="A55" s="7" t="str">
        <f aca="false">IF(Productos!B55="","",Productos!A55)</f>
        <v/>
      </c>
      <c r="B55" s="7" t="str">
        <f aca="false">IF(Productos!B55="","",Productos!B55)</f>
        <v/>
      </c>
      <c r="C55" s="7" t="str">
        <f aca="false">IF(B55="","",Productos!C55)</f>
        <v/>
      </c>
      <c r="D55" s="10" t="str">
        <f aca="false">IF(B55="","",N(Productos!E55))</f>
        <v/>
      </c>
      <c r="E55" s="10" t="str">
        <f aca="false">IF(B55="","",SUMIFS(Compras!$E$5:$E$304,Compras!$B$5:$B$304,B55))</f>
        <v/>
      </c>
      <c r="F55" s="10" t="str">
        <f aca="false">IF(B55="","",SUMIFS(Ventas!$F$5:$F$504,Ventas!$C$5:$C$504,B55))</f>
        <v/>
      </c>
      <c r="G55" s="16" t="str">
        <f aca="false">IF(B55="","",D55+E55-F55)</f>
        <v/>
      </c>
      <c r="H55" s="10" t="str">
        <f aca="false">IF(B55="","",N(Productos!J55))</f>
        <v/>
      </c>
      <c r="I55" s="24" t="str">
        <f aca="false">IF(B55="","",IF(G55&lt;=0,"AGOTADO",IF(G55&lt;=H55,"REPONER","OK")))</f>
        <v/>
      </c>
      <c r="J55" s="11" t="str">
        <f aca="false">IF(B55="","",N(Productos!F55))</f>
        <v/>
      </c>
      <c r="K55" s="11" t="str">
        <f aca="false">IF(B55="","",G55*J55)</f>
        <v/>
      </c>
      <c r="L55" s="11" t="str">
        <f aca="false">IF(B55="","",G55*N(Productos!G55))</f>
        <v/>
      </c>
    </row>
    <row r="56" customFormat="false" ht="15" hidden="false" customHeight="false" outlineLevel="0" collapsed="false">
      <c r="A56" s="7" t="str">
        <f aca="false">IF(Productos!B56="","",Productos!A56)</f>
        <v/>
      </c>
      <c r="B56" s="7" t="str">
        <f aca="false">IF(Productos!B56="","",Productos!B56)</f>
        <v/>
      </c>
      <c r="C56" s="7" t="str">
        <f aca="false">IF(B56="","",Productos!C56)</f>
        <v/>
      </c>
      <c r="D56" s="10" t="str">
        <f aca="false">IF(B56="","",N(Productos!E56))</f>
        <v/>
      </c>
      <c r="E56" s="10" t="str">
        <f aca="false">IF(B56="","",SUMIFS(Compras!$E$5:$E$304,Compras!$B$5:$B$304,B56))</f>
        <v/>
      </c>
      <c r="F56" s="10" t="str">
        <f aca="false">IF(B56="","",SUMIFS(Ventas!$F$5:$F$504,Ventas!$C$5:$C$504,B56))</f>
        <v/>
      </c>
      <c r="G56" s="16" t="str">
        <f aca="false">IF(B56="","",D56+E56-F56)</f>
        <v/>
      </c>
      <c r="H56" s="10" t="str">
        <f aca="false">IF(B56="","",N(Productos!J56))</f>
        <v/>
      </c>
      <c r="I56" s="24" t="str">
        <f aca="false">IF(B56="","",IF(G56&lt;=0,"AGOTADO",IF(G56&lt;=H56,"REPONER","OK")))</f>
        <v/>
      </c>
      <c r="J56" s="11" t="str">
        <f aca="false">IF(B56="","",N(Productos!F56))</f>
        <v/>
      </c>
      <c r="K56" s="11" t="str">
        <f aca="false">IF(B56="","",G56*J56)</f>
        <v/>
      </c>
      <c r="L56" s="11" t="str">
        <f aca="false">IF(B56="","",G56*N(Productos!G56))</f>
        <v/>
      </c>
    </row>
    <row r="57" customFormat="false" ht="15" hidden="false" customHeight="false" outlineLevel="0" collapsed="false">
      <c r="A57" s="7" t="str">
        <f aca="false">IF(Productos!B57="","",Productos!A57)</f>
        <v/>
      </c>
      <c r="B57" s="7" t="str">
        <f aca="false">IF(Productos!B57="","",Productos!B57)</f>
        <v/>
      </c>
      <c r="C57" s="7" t="str">
        <f aca="false">IF(B57="","",Productos!C57)</f>
        <v/>
      </c>
      <c r="D57" s="10" t="str">
        <f aca="false">IF(B57="","",N(Productos!E57))</f>
        <v/>
      </c>
      <c r="E57" s="10" t="str">
        <f aca="false">IF(B57="","",SUMIFS(Compras!$E$5:$E$304,Compras!$B$5:$B$304,B57))</f>
        <v/>
      </c>
      <c r="F57" s="10" t="str">
        <f aca="false">IF(B57="","",SUMIFS(Ventas!$F$5:$F$504,Ventas!$C$5:$C$504,B57))</f>
        <v/>
      </c>
      <c r="G57" s="16" t="str">
        <f aca="false">IF(B57="","",D57+E57-F57)</f>
        <v/>
      </c>
      <c r="H57" s="10" t="str">
        <f aca="false">IF(B57="","",N(Productos!J57))</f>
        <v/>
      </c>
      <c r="I57" s="24" t="str">
        <f aca="false">IF(B57="","",IF(G57&lt;=0,"AGOTADO",IF(G57&lt;=H57,"REPONER","OK")))</f>
        <v/>
      </c>
      <c r="J57" s="11" t="str">
        <f aca="false">IF(B57="","",N(Productos!F57))</f>
        <v/>
      </c>
      <c r="K57" s="11" t="str">
        <f aca="false">IF(B57="","",G57*J57)</f>
        <v/>
      </c>
      <c r="L57" s="11" t="str">
        <f aca="false">IF(B57="","",G57*N(Productos!G57))</f>
        <v/>
      </c>
    </row>
    <row r="58" customFormat="false" ht="15" hidden="false" customHeight="false" outlineLevel="0" collapsed="false">
      <c r="A58" s="7" t="str">
        <f aca="false">IF(Productos!B58="","",Productos!A58)</f>
        <v/>
      </c>
      <c r="B58" s="7" t="str">
        <f aca="false">IF(Productos!B58="","",Productos!B58)</f>
        <v/>
      </c>
      <c r="C58" s="7" t="str">
        <f aca="false">IF(B58="","",Productos!C58)</f>
        <v/>
      </c>
      <c r="D58" s="10" t="str">
        <f aca="false">IF(B58="","",N(Productos!E58))</f>
        <v/>
      </c>
      <c r="E58" s="10" t="str">
        <f aca="false">IF(B58="","",SUMIFS(Compras!$E$5:$E$304,Compras!$B$5:$B$304,B58))</f>
        <v/>
      </c>
      <c r="F58" s="10" t="str">
        <f aca="false">IF(B58="","",SUMIFS(Ventas!$F$5:$F$504,Ventas!$C$5:$C$504,B58))</f>
        <v/>
      </c>
      <c r="G58" s="16" t="str">
        <f aca="false">IF(B58="","",D58+E58-F58)</f>
        <v/>
      </c>
      <c r="H58" s="10" t="str">
        <f aca="false">IF(B58="","",N(Productos!J58))</f>
        <v/>
      </c>
      <c r="I58" s="24" t="str">
        <f aca="false">IF(B58="","",IF(G58&lt;=0,"AGOTADO",IF(G58&lt;=H58,"REPONER","OK")))</f>
        <v/>
      </c>
      <c r="J58" s="11" t="str">
        <f aca="false">IF(B58="","",N(Productos!F58))</f>
        <v/>
      </c>
      <c r="K58" s="11" t="str">
        <f aca="false">IF(B58="","",G58*J58)</f>
        <v/>
      </c>
      <c r="L58" s="11" t="str">
        <f aca="false">IF(B58="","",G58*N(Productos!G58))</f>
        <v/>
      </c>
    </row>
    <row r="59" customFormat="false" ht="15" hidden="false" customHeight="false" outlineLevel="0" collapsed="false">
      <c r="A59" s="7" t="str">
        <f aca="false">IF(Productos!B59="","",Productos!A59)</f>
        <v/>
      </c>
      <c r="B59" s="7" t="str">
        <f aca="false">IF(Productos!B59="","",Productos!B59)</f>
        <v/>
      </c>
      <c r="C59" s="7" t="str">
        <f aca="false">IF(B59="","",Productos!C59)</f>
        <v/>
      </c>
      <c r="D59" s="10" t="str">
        <f aca="false">IF(B59="","",N(Productos!E59))</f>
        <v/>
      </c>
      <c r="E59" s="10" t="str">
        <f aca="false">IF(B59="","",SUMIFS(Compras!$E$5:$E$304,Compras!$B$5:$B$304,B59))</f>
        <v/>
      </c>
      <c r="F59" s="10" t="str">
        <f aca="false">IF(B59="","",SUMIFS(Ventas!$F$5:$F$504,Ventas!$C$5:$C$504,B59))</f>
        <v/>
      </c>
      <c r="G59" s="16" t="str">
        <f aca="false">IF(B59="","",D59+E59-F59)</f>
        <v/>
      </c>
      <c r="H59" s="10" t="str">
        <f aca="false">IF(B59="","",N(Productos!J59))</f>
        <v/>
      </c>
      <c r="I59" s="24" t="str">
        <f aca="false">IF(B59="","",IF(G59&lt;=0,"AGOTADO",IF(G59&lt;=H59,"REPONER","OK")))</f>
        <v/>
      </c>
      <c r="J59" s="11" t="str">
        <f aca="false">IF(B59="","",N(Productos!F59))</f>
        <v/>
      </c>
      <c r="K59" s="11" t="str">
        <f aca="false">IF(B59="","",G59*J59)</f>
        <v/>
      </c>
      <c r="L59" s="11" t="str">
        <f aca="false">IF(B59="","",G59*N(Productos!G59))</f>
        <v/>
      </c>
    </row>
    <row r="60" customFormat="false" ht="15" hidden="false" customHeight="false" outlineLevel="0" collapsed="false">
      <c r="A60" s="7" t="str">
        <f aca="false">IF(Productos!B60="","",Productos!A60)</f>
        <v/>
      </c>
      <c r="B60" s="7" t="str">
        <f aca="false">IF(Productos!B60="","",Productos!B60)</f>
        <v/>
      </c>
      <c r="C60" s="7" t="str">
        <f aca="false">IF(B60="","",Productos!C60)</f>
        <v/>
      </c>
      <c r="D60" s="10" t="str">
        <f aca="false">IF(B60="","",N(Productos!E60))</f>
        <v/>
      </c>
      <c r="E60" s="10" t="str">
        <f aca="false">IF(B60="","",SUMIFS(Compras!$E$5:$E$304,Compras!$B$5:$B$304,B60))</f>
        <v/>
      </c>
      <c r="F60" s="10" t="str">
        <f aca="false">IF(B60="","",SUMIFS(Ventas!$F$5:$F$504,Ventas!$C$5:$C$504,B60))</f>
        <v/>
      </c>
      <c r="G60" s="16" t="str">
        <f aca="false">IF(B60="","",D60+E60-F60)</f>
        <v/>
      </c>
      <c r="H60" s="10" t="str">
        <f aca="false">IF(B60="","",N(Productos!J60))</f>
        <v/>
      </c>
      <c r="I60" s="24" t="str">
        <f aca="false">IF(B60="","",IF(G60&lt;=0,"AGOTADO",IF(G60&lt;=H60,"REPONER","OK")))</f>
        <v/>
      </c>
      <c r="J60" s="11" t="str">
        <f aca="false">IF(B60="","",N(Productos!F60))</f>
        <v/>
      </c>
      <c r="K60" s="11" t="str">
        <f aca="false">IF(B60="","",G60*J60)</f>
        <v/>
      </c>
      <c r="L60" s="11" t="str">
        <f aca="false">IF(B60="","",G60*N(Productos!G60))</f>
        <v/>
      </c>
    </row>
    <row r="61" customFormat="false" ht="15" hidden="false" customHeight="false" outlineLevel="0" collapsed="false">
      <c r="A61" s="7" t="str">
        <f aca="false">IF(Productos!B61="","",Productos!A61)</f>
        <v/>
      </c>
      <c r="B61" s="7" t="str">
        <f aca="false">IF(Productos!B61="","",Productos!B61)</f>
        <v/>
      </c>
      <c r="C61" s="7" t="str">
        <f aca="false">IF(B61="","",Productos!C61)</f>
        <v/>
      </c>
      <c r="D61" s="10" t="str">
        <f aca="false">IF(B61="","",N(Productos!E61))</f>
        <v/>
      </c>
      <c r="E61" s="10" t="str">
        <f aca="false">IF(B61="","",SUMIFS(Compras!$E$5:$E$304,Compras!$B$5:$B$304,B61))</f>
        <v/>
      </c>
      <c r="F61" s="10" t="str">
        <f aca="false">IF(B61="","",SUMIFS(Ventas!$F$5:$F$504,Ventas!$C$5:$C$504,B61))</f>
        <v/>
      </c>
      <c r="G61" s="16" t="str">
        <f aca="false">IF(B61="","",D61+E61-F61)</f>
        <v/>
      </c>
      <c r="H61" s="10" t="str">
        <f aca="false">IF(B61="","",N(Productos!J61))</f>
        <v/>
      </c>
      <c r="I61" s="24" t="str">
        <f aca="false">IF(B61="","",IF(G61&lt;=0,"AGOTADO",IF(G61&lt;=H61,"REPONER","OK")))</f>
        <v/>
      </c>
      <c r="J61" s="11" t="str">
        <f aca="false">IF(B61="","",N(Productos!F61))</f>
        <v/>
      </c>
      <c r="K61" s="11" t="str">
        <f aca="false">IF(B61="","",G61*J61)</f>
        <v/>
      </c>
      <c r="L61" s="11" t="str">
        <f aca="false">IF(B61="","",G61*N(Productos!G61))</f>
        <v/>
      </c>
    </row>
    <row r="62" customFormat="false" ht="15" hidden="false" customHeight="false" outlineLevel="0" collapsed="false">
      <c r="A62" s="7" t="str">
        <f aca="false">IF(Productos!B62="","",Productos!A62)</f>
        <v/>
      </c>
      <c r="B62" s="7" t="str">
        <f aca="false">IF(Productos!B62="","",Productos!B62)</f>
        <v/>
      </c>
      <c r="C62" s="7" t="str">
        <f aca="false">IF(B62="","",Productos!C62)</f>
        <v/>
      </c>
      <c r="D62" s="10" t="str">
        <f aca="false">IF(B62="","",N(Productos!E62))</f>
        <v/>
      </c>
      <c r="E62" s="10" t="str">
        <f aca="false">IF(B62="","",SUMIFS(Compras!$E$5:$E$304,Compras!$B$5:$B$304,B62))</f>
        <v/>
      </c>
      <c r="F62" s="10" t="str">
        <f aca="false">IF(B62="","",SUMIFS(Ventas!$F$5:$F$504,Ventas!$C$5:$C$504,B62))</f>
        <v/>
      </c>
      <c r="G62" s="16" t="str">
        <f aca="false">IF(B62="","",D62+E62-F62)</f>
        <v/>
      </c>
      <c r="H62" s="10" t="str">
        <f aca="false">IF(B62="","",N(Productos!J62))</f>
        <v/>
      </c>
      <c r="I62" s="24" t="str">
        <f aca="false">IF(B62="","",IF(G62&lt;=0,"AGOTADO",IF(G62&lt;=H62,"REPONER","OK")))</f>
        <v/>
      </c>
      <c r="J62" s="11" t="str">
        <f aca="false">IF(B62="","",N(Productos!F62))</f>
        <v/>
      </c>
      <c r="K62" s="11" t="str">
        <f aca="false">IF(B62="","",G62*J62)</f>
        <v/>
      </c>
      <c r="L62" s="11" t="str">
        <f aca="false">IF(B62="","",G62*N(Productos!G62))</f>
        <v/>
      </c>
    </row>
    <row r="63" customFormat="false" ht="15" hidden="false" customHeight="false" outlineLevel="0" collapsed="false">
      <c r="A63" s="7" t="str">
        <f aca="false">IF(Productos!B63="","",Productos!A63)</f>
        <v/>
      </c>
      <c r="B63" s="7" t="str">
        <f aca="false">IF(Productos!B63="","",Productos!B63)</f>
        <v/>
      </c>
      <c r="C63" s="7" t="str">
        <f aca="false">IF(B63="","",Productos!C63)</f>
        <v/>
      </c>
      <c r="D63" s="10" t="str">
        <f aca="false">IF(B63="","",N(Productos!E63))</f>
        <v/>
      </c>
      <c r="E63" s="10" t="str">
        <f aca="false">IF(B63="","",SUMIFS(Compras!$E$5:$E$304,Compras!$B$5:$B$304,B63))</f>
        <v/>
      </c>
      <c r="F63" s="10" t="str">
        <f aca="false">IF(B63="","",SUMIFS(Ventas!$F$5:$F$504,Ventas!$C$5:$C$504,B63))</f>
        <v/>
      </c>
      <c r="G63" s="16" t="str">
        <f aca="false">IF(B63="","",D63+E63-F63)</f>
        <v/>
      </c>
      <c r="H63" s="10" t="str">
        <f aca="false">IF(B63="","",N(Productos!J63))</f>
        <v/>
      </c>
      <c r="I63" s="24" t="str">
        <f aca="false">IF(B63="","",IF(G63&lt;=0,"AGOTADO",IF(G63&lt;=H63,"REPONER","OK")))</f>
        <v/>
      </c>
      <c r="J63" s="11" t="str">
        <f aca="false">IF(B63="","",N(Productos!F63))</f>
        <v/>
      </c>
      <c r="K63" s="11" t="str">
        <f aca="false">IF(B63="","",G63*J63)</f>
        <v/>
      </c>
      <c r="L63" s="11" t="str">
        <f aca="false">IF(B63="","",G63*N(Productos!G63))</f>
        <v/>
      </c>
    </row>
    <row r="64" customFormat="false" ht="15" hidden="false" customHeight="false" outlineLevel="0" collapsed="false">
      <c r="A64" s="7" t="str">
        <f aca="false">IF(Productos!B64="","",Productos!A64)</f>
        <v/>
      </c>
      <c r="B64" s="7" t="str">
        <f aca="false">IF(Productos!B64="","",Productos!B64)</f>
        <v/>
      </c>
      <c r="C64" s="7" t="str">
        <f aca="false">IF(B64="","",Productos!C64)</f>
        <v/>
      </c>
      <c r="D64" s="10" t="str">
        <f aca="false">IF(B64="","",N(Productos!E64))</f>
        <v/>
      </c>
      <c r="E64" s="10" t="str">
        <f aca="false">IF(B64="","",SUMIFS(Compras!$E$5:$E$304,Compras!$B$5:$B$304,B64))</f>
        <v/>
      </c>
      <c r="F64" s="10" t="str">
        <f aca="false">IF(B64="","",SUMIFS(Ventas!$F$5:$F$504,Ventas!$C$5:$C$504,B64))</f>
        <v/>
      </c>
      <c r="G64" s="16" t="str">
        <f aca="false">IF(B64="","",D64+E64-F64)</f>
        <v/>
      </c>
      <c r="H64" s="10" t="str">
        <f aca="false">IF(B64="","",N(Productos!J64))</f>
        <v/>
      </c>
      <c r="I64" s="24" t="str">
        <f aca="false">IF(B64="","",IF(G64&lt;=0,"AGOTADO",IF(G64&lt;=H64,"REPONER","OK")))</f>
        <v/>
      </c>
      <c r="J64" s="11" t="str">
        <f aca="false">IF(B64="","",N(Productos!F64))</f>
        <v/>
      </c>
      <c r="K64" s="11" t="str">
        <f aca="false">IF(B64="","",G64*J64)</f>
        <v/>
      </c>
      <c r="L64" s="11" t="str">
        <f aca="false">IF(B64="","",G64*N(Productos!G64))</f>
        <v/>
      </c>
    </row>
    <row r="65" customFormat="false" ht="15" hidden="false" customHeight="false" outlineLevel="0" collapsed="false">
      <c r="A65" s="7" t="str">
        <f aca="false">IF(Productos!B65="","",Productos!A65)</f>
        <v/>
      </c>
      <c r="B65" s="7" t="str">
        <f aca="false">IF(Productos!B65="","",Productos!B65)</f>
        <v/>
      </c>
      <c r="C65" s="7" t="str">
        <f aca="false">IF(B65="","",Productos!C65)</f>
        <v/>
      </c>
      <c r="D65" s="10" t="str">
        <f aca="false">IF(B65="","",N(Productos!E65))</f>
        <v/>
      </c>
      <c r="E65" s="10" t="str">
        <f aca="false">IF(B65="","",SUMIFS(Compras!$E$5:$E$304,Compras!$B$5:$B$304,B65))</f>
        <v/>
      </c>
      <c r="F65" s="10" t="str">
        <f aca="false">IF(B65="","",SUMIFS(Ventas!$F$5:$F$504,Ventas!$C$5:$C$504,B65))</f>
        <v/>
      </c>
      <c r="G65" s="16" t="str">
        <f aca="false">IF(B65="","",D65+E65-F65)</f>
        <v/>
      </c>
      <c r="H65" s="10" t="str">
        <f aca="false">IF(B65="","",N(Productos!J65))</f>
        <v/>
      </c>
      <c r="I65" s="24" t="str">
        <f aca="false">IF(B65="","",IF(G65&lt;=0,"AGOTADO",IF(G65&lt;=H65,"REPONER","OK")))</f>
        <v/>
      </c>
      <c r="J65" s="11" t="str">
        <f aca="false">IF(B65="","",N(Productos!F65))</f>
        <v/>
      </c>
      <c r="K65" s="11" t="str">
        <f aca="false">IF(B65="","",G65*J65)</f>
        <v/>
      </c>
      <c r="L65" s="11" t="str">
        <f aca="false">IF(B65="","",G65*N(Productos!G65))</f>
        <v/>
      </c>
    </row>
    <row r="66" customFormat="false" ht="15" hidden="false" customHeight="false" outlineLevel="0" collapsed="false">
      <c r="A66" s="7" t="str">
        <f aca="false">IF(Productos!B66="","",Productos!A66)</f>
        <v/>
      </c>
      <c r="B66" s="7" t="str">
        <f aca="false">IF(Productos!B66="","",Productos!B66)</f>
        <v/>
      </c>
      <c r="C66" s="7" t="str">
        <f aca="false">IF(B66="","",Productos!C66)</f>
        <v/>
      </c>
      <c r="D66" s="10" t="str">
        <f aca="false">IF(B66="","",N(Productos!E66))</f>
        <v/>
      </c>
      <c r="E66" s="10" t="str">
        <f aca="false">IF(B66="","",SUMIFS(Compras!$E$5:$E$304,Compras!$B$5:$B$304,B66))</f>
        <v/>
      </c>
      <c r="F66" s="10" t="str">
        <f aca="false">IF(B66="","",SUMIFS(Ventas!$F$5:$F$504,Ventas!$C$5:$C$504,B66))</f>
        <v/>
      </c>
      <c r="G66" s="16" t="str">
        <f aca="false">IF(B66="","",D66+E66-F66)</f>
        <v/>
      </c>
      <c r="H66" s="10" t="str">
        <f aca="false">IF(B66="","",N(Productos!J66))</f>
        <v/>
      </c>
      <c r="I66" s="24" t="str">
        <f aca="false">IF(B66="","",IF(G66&lt;=0,"AGOTADO",IF(G66&lt;=H66,"REPONER","OK")))</f>
        <v/>
      </c>
      <c r="J66" s="11" t="str">
        <f aca="false">IF(B66="","",N(Productos!F66))</f>
        <v/>
      </c>
      <c r="K66" s="11" t="str">
        <f aca="false">IF(B66="","",G66*J66)</f>
        <v/>
      </c>
      <c r="L66" s="11" t="str">
        <f aca="false">IF(B66="","",G66*N(Productos!G66))</f>
        <v/>
      </c>
    </row>
    <row r="67" customFormat="false" ht="15" hidden="false" customHeight="false" outlineLevel="0" collapsed="false">
      <c r="A67" s="7" t="str">
        <f aca="false">IF(Productos!B67="","",Productos!A67)</f>
        <v/>
      </c>
      <c r="B67" s="7" t="str">
        <f aca="false">IF(Productos!B67="","",Productos!B67)</f>
        <v/>
      </c>
      <c r="C67" s="7" t="str">
        <f aca="false">IF(B67="","",Productos!C67)</f>
        <v/>
      </c>
      <c r="D67" s="10" t="str">
        <f aca="false">IF(B67="","",N(Productos!E67))</f>
        <v/>
      </c>
      <c r="E67" s="10" t="str">
        <f aca="false">IF(B67="","",SUMIFS(Compras!$E$5:$E$304,Compras!$B$5:$B$304,B67))</f>
        <v/>
      </c>
      <c r="F67" s="10" t="str">
        <f aca="false">IF(B67="","",SUMIFS(Ventas!$F$5:$F$504,Ventas!$C$5:$C$504,B67))</f>
        <v/>
      </c>
      <c r="G67" s="16" t="str">
        <f aca="false">IF(B67="","",D67+E67-F67)</f>
        <v/>
      </c>
      <c r="H67" s="10" t="str">
        <f aca="false">IF(B67="","",N(Productos!J67))</f>
        <v/>
      </c>
      <c r="I67" s="24" t="str">
        <f aca="false">IF(B67="","",IF(G67&lt;=0,"AGOTADO",IF(G67&lt;=H67,"REPONER","OK")))</f>
        <v/>
      </c>
      <c r="J67" s="11" t="str">
        <f aca="false">IF(B67="","",N(Productos!F67))</f>
        <v/>
      </c>
      <c r="K67" s="11" t="str">
        <f aca="false">IF(B67="","",G67*J67)</f>
        <v/>
      </c>
      <c r="L67" s="11" t="str">
        <f aca="false">IF(B67="","",G67*N(Productos!G67))</f>
        <v/>
      </c>
    </row>
    <row r="68" customFormat="false" ht="15" hidden="false" customHeight="false" outlineLevel="0" collapsed="false">
      <c r="A68" s="7" t="str">
        <f aca="false">IF(Productos!B68="","",Productos!A68)</f>
        <v/>
      </c>
      <c r="B68" s="7" t="str">
        <f aca="false">IF(Productos!B68="","",Productos!B68)</f>
        <v/>
      </c>
      <c r="C68" s="7" t="str">
        <f aca="false">IF(B68="","",Productos!C68)</f>
        <v/>
      </c>
      <c r="D68" s="10" t="str">
        <f aca="false">IF(B68="","",N(Productos!E68))</f>
        <v/>
      </c>
      <c r="E68" s="10" t="str">
        <f aca="false">IF(B68="","",SUMIFS(Compras!$E$5:$E$304,Compras!$B$5:$B$304,B68))</f>
        <v/>
      </c>
      <c r="F68" s="10" t="str">
        <f aca="false">IF(B68="","",SUMIFS(Ventas!$F$5:$F$504,Ventas!$C$5:$C$504,B68))</f>
        <v/>
      </c>
      <c r="G68" s="16" t="str">
        <f aca="false">IF(B68="","",D68+E68-F68)</f>
        <v/>
      </c>
      <c r="H68" s="10" t="str">
        <f aca="false">IF(B68="","",N(Productos!J68))</f>
        <v/>
      </c>
      <c r="I68" s="24" t="str">
        <f aca="false">IF(B68="","",IF(G68&lt;=0,"AGOTADO",IF(G68&lt;=H68,"REPONER","OK")))</f>
        <v/>
      </c>
      <c r="J68" s="11" t="str">
        <f aca="false">IF(B68="","",N(Productos!F68))</f>
        <v/>
      </c>
      <c r="K68" s="11" t="str">
        <f aca="false">IF(B68="","",G68*J68)</f>
        <v/>
      </c>
      <c r="L68" s="11" t="str">
        <f aca="false">IF(B68="","",G68*N(Productos!G68))</f>
        <v/>
      </c>
    </row>
    <row r="69" customFormat="false" ht="15" hidden="false" customHeight="false" outlineLevel="0" collapsed="false">
      <c r="A69" s="7" t="str">
        <f aca="false">IF(Productos!B69="","",Productos!A69)</f>
        <v/>
      </c>
      <c r="B69" s="7" t="str">
        <f aca="false">IF(Productos!B69="","",Productos!B69)</f>
        <v/>
      </c>
      <c r="C69" s="7" t="str">
        <f aca="false">IF(B69="","",Productos!C69)</f>
        <v/>
      </c>
      <c r="D69" s="10" t="str">
        <f aca="false">IF(B69="","",N(Productos!E69))</f>
        <v/>
      </c>
      <c r="E69" s="10" t="str">
        <f aca="false">IF(B69="","",SUMIFS(Compras!$E$5:$E$304,Compras!$B$5:$B$304,B69))</f>
        <v/>
      </c>
      <c r="F69" s="10" t="str">
        <f aca="false">IF(B69="","",SUMIFS(Ventas!$F$5:$F$504,Ventas!$C$5:$C$504,B69))</f>
        <v/>
      </c>
      <c r="G69" s="16" t="str">
        <f aca="false">IF(B69="","",D69+E69-F69)</f>
        <v/>
      </c>
      <c r="H69" s="10" t="str">
        <f aca="false">IF(B69="","",N(Productos!J69))</f>
        <v/>
      </c>
      <c r="I69" s="24" t="str">
        <f aca="false">IF(B69="","",IF(G69&lt;=0,"AGOTADO",IF(G69&lt;=H69,"REPONER","OK")))</f>
        <v/>
      </c>
      <c r="J69" s="11" t="str">
        <f aca="false">IF(B69="","",N(Productos!F69))</f>
        <v/>
      </c>
      <c r="K69" s="11" t="str">
        <f aca="false">IF(B69="","",G69*J69)</f>
        <v/>
      </c>
      <c r="L69" s="11" t="str">
        <f aca="false">IF(B69="","",G69*N(Productos!G69))</f>
        <v/>
      </c>
    </row>
    <row r="70" customFormat="false" ht="15" hidden="false" customHeight="false" outlineLevel="0" collapsed="false">
      <c r="A70" s="7" t="str">
        <f aca="false">IF(Productos!B70="","",Productos!A70)</f>
        <v/>
      </c>
      <c r="B70" s="7" t="str">
        <f aca="false">IF(Productos!B70="","",Productos!B70)</f>
        <v/>
      </c>
      <c r="C70" s="7" t="str">
        <f aca="false">IF(B70="","",Productos!C70)</f>
        <v/>
      </c>
      <c r="D70" s="10" t="str">
        <f aca="false">IF(B70="","",N(Productos!E70))</f>
        <v/>
      </c>
      <c r="E70" s="10" t="str">
        <f aca="false">IF(B70="","",SUMIFS(Compras!$E$5:$E$304,Compras!$B$5:$B$304,B70))</f>
        <v/>
      </c>
      <c r="F70" s="10" t="str">
        <f aca="false">IF(B70="","",SUMIFS(Ventas!$F$5:$F$504,Ventas!$C$5:$C$504,B70))</f>
        <v/>
      </c>
      <c r="G70" s="16" t="str">
        <f aca="false">IF(B70="","",D70+E70-F70)</f>
        <v/>
      </c>
      <c r="H70" s="10" t="str">
        <f aca="false">IF(B70="","",N(Productos!J70))</f>
        <v/>
      </c>
      <c r="I70" s="24" t="str">
        <f aca="false">IF(B70="","",IF(G70&lt;=0,"AGOTADO",IF(G70&lt;=H70,"REPONER","OK")))</f>
        <v/>
      </c>
      <c r="J70" s="11" t="str">
        <f aca="false">IF(B70="","",N(Productos!F70))</f>
        <v/>
      </c>
      <c r="K70" s="11" t="str">
        <f aca="false">IF(B70="","",G70*J70)</f>
        <v/>
      </c>
      <c r="L70" s="11" t="str">
        <f aca="false">IF(B70="","",G70*N(Productos!G70))</f>
        <v/>
      </c>
    </row>
    <row r="71" customFormat="false" ht="15" hidden="false" customHeight="false" outlineLevel="0" collapsed="false">
      <c r="A71" s="7" t="str">
        <f aca="false">IF(Productos!B71="","",Productos!A71)</f>
        <v/>
      </c>
      <c r="B71" s="7" t="str">
        <f aca="false">IF(Productos!B71="","",Productos!B71)</f>
        <v/>
      </c>
      <c r="C71" s="7" t="str">
        <f aca="false">IF(B71="","",Productos!C71)</f>
        <v/>
      </c>
      <c r="D71" s="10" t="str">
        <f aca="false">IF(B71="","",N(Productos!E71))</f>
        <v/>
      </c>
      <c r="E71" s="10" t="str">
        <f aca="false">IF(B71="","",SUMIFS(Compras!$E$5:$E$304,Compras!$B$5:$B$304,B71))</f>
        <v/>
      </c>
      <c r="F71" s="10" t="str">
        <f aca="false">IF(B71="","",SUMIFS(Ventas!$F$5:$F$504,Ventas!$C$5:$C$504,B71))</f>
        <v/>
      </c>
      <c r="G71" s="16" t="str">
        <f aca="false">IF(B71="","",D71+E71-F71)</f>
        <v/>
      </c>
      <c r="H71" s="10" t="str">
        <f aca="false">IF(B71="","",N(Productos!J71))</f>
        <v/>
      </c>
      <c r="I71" s="24" t="str">
        <f aca="false">IF(B71="","",IF(G71&lt;=0,"AGOTADO",IF(G71&lt;=H71,"REPONER","OK")))</f>
        <v/>
      </c>
      <c r="J71" s="11" t="str">
        <f aca="false">IF(B71="","",N(Productos!F71))</f>
        <v/>
      </c>
      <c r="K71" s="11" t="str">
        <f aca="false">IF(B71="","",G71*J71)</f>
        <v/>
      </c>
      <c r="L71" s="11" t="str">
        <f aca="false">IF(B71="","",G71*N(Productos!G71))</f>
        <v/>
      </c>
    </row>
    <row r="72" customFormat="false" ht="15" hidden="false" customHeight="false" outlineLevel="0" collapsed="false">
      <c r="A72" s="7" t="str">
        <f aca="false">IF(Productos!B72="","",Productos!A72)</f>
        <v/>
      </c>
      <c r="B72" s="7" t="str">
        <f aca="false">IF(Productos!B72="","",Productos!B72)</f>
        <v/>
      </c>
      <c r="C72" s="7" t="str">
        <f aca="false">IF(B72="","",Productos!C72)</f>
        <v/>
      </c>
      <c r="D72" s="10" t="str">
        <f aca="false">IF(B72="","",N(Productos!E72))</f>
        <v/>
      </c>
      <c r="E72" s="10" t="str">
        <f aca="false">IF(B72="","",SUMIFS(Compras!$E$5:$E$304,Compras!$B$5:$B$304,B72))</f>
        <v/>
      </c>
      <c r="F72" s="10" t="str">
        <f aca="false">IF(B72="","",SUMIFS(Ventas!$F$5:$F$504,Ventas!$C$5:$C$504,B72))</f>
        <v/>
      </c>
      <c r="G72" s="16" t="str">
        <f aca="false">IF(B72="","",D72+E72-F72)</f>
        <v/>
      </c>
      <c r="H72" s="10" t="str">
        <f aca="false">IF(B72="","",N(Productos!J72))</f>
        <v/>
      </c>
      <c r="I72" s="24" t="str">
        <f aca="false">IF(B72="","",IF(G72&lt;=0,"AGOTADO",IF(G72&lt;=H72,"REPONER","OK")))</f>
        <v/>
      </c>
      <c r="J72" s="11" t="str">
        <f aca="false">IF(B72="","",N(Productos!F72))</f>
        <v/>
      </c>
      <c r="K72" s="11" t="str">
        <f aca="false">IF(B72="","",G72*J72)</f>
        <v/>
      </c>
      <c r="L72" s="11" t="str">
        <f aca="false">IF(B72="","",G72*N(Productos!G72))</f>
        <v/>
      </c>
    </row>
    <row r="73" customFormat="false" ht="15" hidden="false" customHeight="false" outlineLevel="0" collapsed="false">
      <c r="A73" s="7" t="str">
        <f aca="false">IF(Productos!B73="","",Productos!A73)</f>
        <v/>
      </c>
      <c r="B73" s="7" t="str">
        <f aca="false">IF(Productos!B73="","",Productos!B73)</f>
        <v/>
      </c>
      <c r="C73" s="7" t="str">
        <f aca="false">IF(B73="","",Productos!C73)</f>
        <v/>
      </c>
      <c r="D73" s="10" t="str">
        <f aca="false">IF(B73="","",N(Productos!E73))</f>
        <v/>
      </c>
      <c r="E73" s="10" t="str">
        <f aca="false">IF(B73="","",SUMIFS(Compras!$E$5:$E$304,Compras!$B$5:$B$304,B73))</f>
        <v/>
      </c>
      <c r="F73" s="10" t="str">
        <f aca="false">IF(B73="","",SUMIFS(Ventas!$F$5:$F$504,Ventas!$C$5:$C$504,B73))</f>
        <v/>
      </c>
      <c r="G73" s="16" t="str">
        <f aca="false">IF(B73="","",D73+E73-F73)</f>
        <v/>
      </c>
      <c r="H73" s="10" t="str">
        <f aca="false">IF(B73="","",N(Productos!J73))</f>
        <v/>
      </c>
      <c r="I73" s="24" t="str">
        <f aca="false">IF(B73="","",IF(G73&lt;=0,"AGOTADO",IF(G73&lt;=H73,"REPONER","OK")))</f>
        <v/>
      </c>
      <c r="J73" s="11" t="str">
        <f aca="false">IF(B73="","",N(Productos!F73))</f>
        <v/>
      </c>
      <c r="K73" s="11" t="str">
        <f aca="false">IF(B73="","",G73*J73)</f>
        <v/>
      </c>
      <c r="L73" s="11" t="str">
        <f aca="false">IF(B73="","",G73*N(Productos!G73))</f>
        <v/>
      </c>
    </row>
    <row r="74" customFormat="false" ht="15" hidden="false" customHeight="false" outlineLevel="0" collapsed="false">
      <c r="A74" s="7" t="str">
        <f aca="false">IF(Productos!B74="","",Productos!A74)</f>
        <v/>
      </c>
      <c r="B74" s="7" t="str">
        <f aca="false">IF(Productos!B74="","",Productos!B74)</f>
        <v/>
      </c>
      <c r="C74" s="7" t="str">
        <f aca="false">IF(B74="","",Productos!C74)</f>
        <v/>
      </c>
      <c r="D74" s="10" t="str">
        <f aca="false">IF(B74="","",N(Productos!E74))</f>
        <v/>
      </c>
      <c r="E74" s="10" t="str">
        <f aca="false">IF(B74="","",SUMIFS(Compras!$E$5:$E$304,Compras!$B$5:$B$304,B74))</f>
        <v/>
      </c>
      <c r="F74" s="10" t="str">
        <f aca="false">IF(B74="","",SUMIFS(Ventas!$F$5:$F$504,Ventas!$C$5:$C$504,B74))</f>
        <v/>
      </c>
      <c r="G74" s="16" t="str">
        <f aca="false">IF(B74="","",D74+E74-F74)</f>
        <v/>
      </c>
      <c r="H74" s="10" t="str">
        <f aca="false">IF(B74="","",N(Productos!J74))</f>
        <v/>
      </c>
      <c r="I74" s="24" t="str">
        <f aca="false">IF(B74="","",IF(G74&lt;=0,"AGOTADO",IF(G74&lt;=H74,"REPONER","OK")))</f>
        <v/>
      </c>
      <c r="J74" s="11" t="str">
        <f aca="false">IF(B74="","",N(Productos!F74))</f>
        <v/>
      </c>
      <c r="K74" s="11" t="str">
        <f aca="false">IF(B74="","",G74*J74)</f>
        <v/>
      </c>
      <c r="L74" s="11" t="str">
        <f aca="false">IF(B74="","",G74*N(Productos!G74))</f>
        <v/>
      </c>
    </row>
    <row r="75" customFormat="false" ht="15" hidden="false" customHeight="false" outlineLevel="0" collapsed="false">
      <c r="A75" s="7" t="str">
        <f aca="false">IF(Productos!B75="","",Productos!A75)</f>
        <v/>
      </c>
      <c r="B75" s="7" t="str">
        <f aca="false">IF(Productos!B75="","",Productos!B75)</f>
        <v/>
      </c>
      <c r="C75" s="7" t="str">
        <f aca="false">IF(B75="","",Productos!C75)</f>
        <v/>
      </c>
      <c r="D75" s="10" t="str">
        <f aca="false">IF(B75="","",N(Productos!E75))</f>
        <v/>
      </c>
      <c r="E75" s="10" t="str">
        <f aca="false">IF(B75="","",SUMIFS(Compras!$E$5:$E$304,Compras!$B$5:$B$304,B75))</f>
        <v/>
      </c>
      <c r="F75" s="10" t="str">
        <f aca="false">IF(B75="","",SUMIFS(Ventas!$F$5:$F$504,Ventas!$C$5:$C$504,B75))</f>
        <v/>
      </c>
      <c r="G75" s="16" t="str">
        <f aca="false">IF(B75="","",D75+E75-F75)</f>
        <v/>
      </c>
      <c r="H75" s="10" t="str">
        <f aca="false">IF(B75="","",N(Productos!J75))</f>
        <v/>
      </c>
      <c r="I75" s="24" t="str">
        <f aca="false">IF(B75="","",IF(G75&lt;=0,"AGOTADO",IF(G75&lt;=H75,"REPONER","OK")))</f>
        <v/>
      </c>
      <c r="J75" s="11" t="str">
        <f aca="false">IF(B75="","",N(Productos!F75))</f>
        <v/>
      </c>
      <c r="K75" s="11" t="str">
        <f aca="false">IF(B75="","",G75*J75)</f>
        <v/>
      </c>
      <c r="L75" s="11" t="str">
        <f aca="false">IF(B75="","",G75*N(Productos!G75))</f>
        <v/>
      </c>
    </row>
    <row r="76" customFormat="false" ht="15" hidden="false" customHeight="false" outlineLevel="0" collapsed="false">
      <c r="A76" s="7" t="str">
        <f aca="false">IF(Productos!B76="","",Productos!A76)</f>
        <v/>
      </c>
      <c r="B76" s="7" t="str">
        <f aca="false">IF(Productos!B76="","",Productos!B76)</f>
        <v/>
      </c>
      <c r="C76" s="7" t="str">
        <f aca="false">IF(B76="","",Productos!C76)</f>
        <v/>
      </c>
      <c r="D76" s="10" t="str">
        <f aca="false">IF(B76="","",N(Productos!E76))</f>
        <v/>
      </c>
      <c r="E76" s="10" t="str">
        <f aca="false">IF(B76="","",SUMIFS(Compras!$E$5:$E$304,Compras!$B$5:$B$304,B76))</f>
        <v/>
      </c>
      <c r="F76" s="10" t="str">
        <f aca="false">IF(B76="","",SUMIFS(Ventas!$F$5:$F$504,Ventas!$C$5:$C$504,B76))</f>
        <v/>
      </c>
      <c r="G76" s="16" t="str">
        <f aca="false">IF(B76="","",D76+E76-F76)</f>
        <v/>
      </c>
      <c r="H76" s="10" t="str">
        <f aca="false">IF(B76="","",N(Productos!J76))</f>
        <v/>
      </c>
      <c r="I76" s="24" t="str">
        <f aca="false">IF(B76="","",IF(G76&lt;=0,"AGOTADO",IF(G76&lt;=H76,"REPONER","OK")))</f>
        <v/>
      </c>
      <c r="J76" s="11" t="str">
        <f aca="false">IF(B76="","",N(Productos!F76))</f>
        <v/>
      </c>
      <c r="K76" s="11" t="str">
        <f aca="false">IF(B76="","",G76*J76)</f>
        <v/>
      </c>
      <c r="L76" s="11" t="str">
        <f aca="false">IF(B76="","",G76*N(Productos!G76))</f>
        <v/>
      </c>
    </row>
    <row r="77" customFormat="false" ht="15" hidden="false" customHeight="false" outlineLevel="0" collapsed="false">
      <c r="A77" s="7" t="str">
        <f aca="false">IF(Productos!B77="","",Productos!A77)</f>
        <v/>
      </c>
      <c r="B77" s="7" t="str">
        <f aca="false">IF(Productos!B77="","",Productos!B77)</f>
        <v/>
      </c>
      <c r="C77" s="7" t="str">
        <f aca="false">IF(B77="","",Productos!C77)</f>
        <v/>
      </c>
      <c r="D77" s="10" t="str">
        <f aca="false">IF(B77="","",N(Productos!E77))</f>
        <v/>
      </c>
      <c r="E77" s="10" t="str">
        <f aca="false">IF(B77="","",SUMIFS(Compras!$E$5:$E$304,Compras!$B$5:$B$304,B77))</f>
        <v/>
      </c>
      <c r="F77" s="10" t="str">
        <f aca="false">IF(B77="","",SUMIFS(Ventas!$F$5:$F$504,Ventas!$C$5:$C$504,B77))</f>
        <v/>
      </c>
      <c r="G77" s="16" t="str">
        <f aca="false">IF(B77="","",D77+E77-F77)</f>
        <v/>
      </c>
      <c r="H77" s="10" t="str">
        <f aca="false">IF(B77="","",N(Productos!J77))</f>
        <v/>
      </c>
      <c r="I77" s="24" t="str">
        <f aca="false">IF(B77="","",IF(G77&lt;=0,"AGOTADO",IF(G77&lt;=H77,"REPONER","OK")))</f>
        <v/>
      </c>
      <c r="J77" s="11" t="str">
        <f aca="false">IF(B77="","",N(Productos!F77))</f>
        <v/>
      </c>
      <c r="K77" s="11" t="str">
        <f aca="false">IF(B77="","",G77*J77)</f>
        <v/>
      </c>
      <c r="L77" s="11" t="str">
        <f aca="false">IF(B77="","",G77*N(Productos!G77))</f>
        <v/>
      </c>
    </row>
    <row r="78" customFormat="false" ht="15" hidden="false" customHeight="false" outlineLevel="0" collapsed="false">
      <c r="A78" s="7" t="str">
        <f aca="false">IF(Productos!B78="","",Productos!A78)</f>
        <v/>
      </c>
      <c r="B78" s="7" t="str">
        <f aca="false">IF(Productos!B78="","",Productos!B78)</f>
        <v/>
      </c>
      <c r="C78" s="7" t="str">
        <f aca="false">IF(B78="","",Productos!C78)</f>
        <v/>
      </c>
      <c r="D78" s="10" t="str">
        <f aca="false">IF(B78="","",N(Productos!E78))</f>
        <v/>
      </c>
      <c r="E78" s="10" t="str">
        <f aca="false">IF(B78="","",SUMIFS(Compras!$E$5:$E$304,Compras!$B$5:$B$304,B78))</f>
        <v/>
      </c>
      <c r="F78" s="10" t="str">
        <f aca="false">IF(B78="","",SUMIFS(Ventas!$F$5:$F$504,Ventas!$C$5:$C$504,B78))</f>
        <v/>
      </c>
      <c r="G78" s="16" t="str">
        <f aca="false">IF(B78="","",D78+E78-F78)</f>
        <v/>
      </c>
      <c r="H78" s="10" t="str">
        <f aca="false">IF(B78="","",N(Productos!J78))</f>
        <v/>
      </c>
      <c r="I78" s="24" t="str">
        <f aca="false">IF(B78="","",IF(G78&lt;=0,"AGOTADO",IF(G78&lt;=H78,"REPONER","OK")))</f>
        <v/>
      </c>
      <c r="J78" s="11" t="str">
        <f aca="false">IF(B78="","",N(Productos!F78))</f>
        <v/>
      </c>
      <c r="K78" s="11" t="str">
        <f aca="false">IF(B78="","",G78*J78)</f>
        <v/>
      </c>
      <c r="L78" s="11" t="str">
        <f aca="false">IF(B78="","",G78*N(Productos!G78))</f>
        <v/>
      </c>
    </row>
    <row r="79" customFormat="false" ht="15" hidden="false" customHeight="false" outlineLevel="0" collapsed="false">
      <c r="A79" s="7" t="str">
        <f aca="false">IF(Productos!B79="","",Productos!A79)</f>
        <v/>
      </c>
      <c r="B79" s="7" t="str">
        <f aca="false">IF(Productos!B79="","",Productos!B79)</f>
        <v/>
      </c>
      <c r="C79" s="7" t="str">
        <f aca="false">IF(B79="","",Productos!C79)</f>
        <v/>
      </c>
      <c r="D79" s="10" t="str">
        <f aca="false">IF(B79="","",N(Productos!E79))</f>
        <v/>
      </c>
      <c r="E79" s="10" t="str">
        <f aca="false">IF(B79="","",SUMIFS(Compras!$E$5:$E$304,Compras!$B$5:$B$304,B79))</f>
        <v/>
      </c>
      <c r="F79" s="10" t="str">
        <f aca="false">IF(B79="","",SUMIFS(Ventas!$F$5:$F$504,Ventas!$C$5:$C$504,B79))</f>
        <v/>
      </c>
      <c r="G79" s="16" t="str">
        <f aca="false">IF(B79="","",D79+E79-F79)</f>
        <v/>
      </c>
      <c r="H79" s="10" t="str">
        <f aca="false">IF(B79="","",N(Productos!J79))</f>
        <v/>
      </c>
      <c r="I79" s="24" t="str">
        <f aca="false">IF(B79="","",IF(G79&lt;=0,"AGOTADO",IF(G79&lt;=H79,"REPONER","OK")))</f>
        <v/>
      </c>
      <c r="J79" s="11" t="str">
        <f aca="false">IF(B79="","",N(Productos!F79))</f>
        <v/>
      </c>
      <c r="K79" s="11" t="str">
        <f aca="false">IF(B79="","",G79*J79)</f>
        <v/>
      </c>
      <c r="L79" s="11" t="str">
        <f aca="false">IF(B79="","",G79*N(Productos!G79))</f>
        <v/>
      </c>
    </row>
    <row r="80" customFormat="false" ht="15" hidden="false" customHeight="false" outlineLevel="0" collapsed="false">
      <c r="A80" s="7" t="str">
        <f aca="false">IF(Productos!B80="","",Productos!A80)</f>
        <v/>
      </c>
      <c r="B80" s="7" t="str">
        <f aca="false">IF(Productos!B80="","",Productos!B80)</f>
        <v/>
      </c>
      <c r="C80" s="7" t="str">
        <f aca="false">IF(B80="","",Productos!C80)</f>
        <v/>
      </c>
      <c r="D80" s="10" t="str">
        <f aca="false">IF(B80="","",N(Productos!E80))</f>
        <v/>
      </c>
      <c r="E80" s="10" t="str">
        <f aca="false">IF(B80="","",SUMIFS(Compras!$E$5:$E$304,Compras!$B$5:$B$304,B80))</f>
        <v/>
      </c>
      <c r="F80" s="10" t="str">
        <f aca="false">IF(B80="","",SUMIFS(Ventas!$F$5:$F$504,Ventas!$C$5:$C$504,B80))</f>
        <v/>
      </c>
      <c r="G80" s="16" t="str">
        <f aca="false">IF(B80="","",D80+E80-F80)</f>
        <v/>
      </c>
      <c r="H80" s="10" t="str">
        <f aca="false">IF(B80="","",N(Productos!J80))</f>
        <v/>
      </c>
      <c r="I80" s="24" t="str">
        <f aca="false">IF(B80="","",IF(G80&lt;=0,"AGOTADO",IF(G80&lt;=H80,"REPONER","OK")))</f>
        <v/>
      </c>
      <c r="J80" s="11" t="str">
        <f aca="false">IF(B80="","",N(Productos!F80))</f>
        <v/>
      </c>
      <c r="K80" s="11" t="str">
        <f aca="false">IF(B80="","",G80*J80)</f>
        <v/>
      </c>
      <c r="L80" s="11" t="str">
        <f aca="false">IF(B80="","",G80*N(Productos!G80))</f>
        <v/>
      </c>
    </row>
    <row r="81" customFormat="false" ht="15" hidden="false" customHeight="false" outlineLevel="0" collapsed="false">
      <c r="A81" s="7" t="str">
        <f aca="false">IF(Productos!B81="","",Productos!A81)</f>
        <v/>
      </c>
      <c r="B81" s="7" t="str">
        <f aca="false">IF(Productos!B81="","",Productos!B81)</f>
        <v/>
      </c>
      <c r="C81" s="7" t="str">
        <f aca="false">IF(B81="","",Productos!C81)</f>
        <v/>
      </c>
      <c r="D81" s="10" t="str">
        <f aca="false">IF(B81="","",N(Productos!E81))</f>
        <v/>
      </c>
      <c r="E81" s="10" t="str">
        <f aca="false">IF(B81="","",SUMIFS(Compras!$E$5:$E$304,Compras!$B$5:$B$304,B81))</f>
        <v/>
      </c>
      <c r="F81" s="10" t="str">
        <f aca="false">IF(B81="","",SUMIFS(Ventas!$F$5:$F$504,Ventas!$C$5:$C$504,B81))</f>
        <v/>
      </c>
      <c r="G81" s="16" t="str">
        <f aca="false">IF(B81="","",D81+E81-F81)</f>
        <v/>
      </c>
      <c r="H81" s="10" t="str">
        <f aca="false">IF(B81="","",N(Productos!J81))</f>
        <v/>
      </c>
      <c r="I81" s="24" t="str">
        <f aca="false">IF(B81="","",IF(G81&lt;=0,"AGOTADO",IF(G81&lt;=H81,"REPONER","OK")))</f>
        <v/>
      </c>
      <c r="J81" s="11" t="str">
        <f aca="false">IF(B81="","",N(Productos!F81))</f>
        <v/>
      </c>
      <c r="K81" s="11" t="str">
        <f aca="false">IF(B81="","",G81*J81)</f>
        <v/>
      </c>
      <c r="L81" s="11" t="str">
        <f aca="false">IF(B81="","",G81*N(Productos!G81))</f>
        <v/>
      </c>
    </row>
    <row r="82" customFormat="false" ht="15" hidden="false" customHeight="false" outlineLevel="0" collapsed="false">
      <c r="A82" s="7" t="str">
        <f aca="false">IF(Productos!B82="","",Productos!A82)</f>
        <v/>
      </c>
      <c r="B82" s="7" t="str">
        <f aca="false">IF(Productos!B82="","",Productos!B82)</f>
        <v/>
      </c>
      <c r="C82" s="7" t="str">
        <f aca="false">IF(B82="","",Productos!C82)</f>
        <v/>
      </c>
      <c r="D82" s="10" t="str">
        <f aca="false">IF(B82="","",N(Productos!E82))</f>
        <v/>
      </c>
      <c r="E82" s="10" t="str">
        <f aca="false">IF(B82="","",SUMIFS(Compras!$E$5:$E$304,Compras!$B$5:$B$304,B82))</f>
        <v/>
      </c>
      <c r="F82" s="10" t="str">
        <f aca="false">IF(B82="","",SUMIFS(Ventas!$F$5:$F$504,Ventas!$C$5:$C$504,B82))</f>
        <v/>
      </c>
      <c r="G82" s="16" t="str">
        <f aca="false">IF(B82="","",D82+E82-F82)</f>
        <v/>
      </c>
      <c r="H82" s="10" t="str">
        <f aca="false">IF(B82="","",N(Productos!J82))</f>
        <v/>
      </c>
      <c r="I82" s="24" t="str">
        <f aca="false">IF(B82="","",IF(G82&lt;=0,"AGOTADO",IF(G82&lt;=H82,"REPONER","OK")))</f>
        <v/>
      </c>
      <c r="J82" s="11" t="str">
        <f aca="false">IF(B82="","",N(Productos!F82))</f>
        <v/>
      </c>
      <c r="K82" s="11" t="str">
        <f aca="false">IF(B82="","",G82*J82)</f>
        <v/>
      </c>
      <c r="L82" s="11" t="str">
        <f aca="false">IF(B82="","",G82*N(Productos!G82))</f>
        <v/>
      </c>
    </row>
    <row r="83" customFormat="false" ht="15" hidden="false" customHeight="false" outlineLevel="0" collapsed="false">
      <c r="A83" s="7" t="str">
        <f aca="false">IF(Productos!B83="","",Productos!A83)</f>
        <v/>
      </c>
      <c r="B83" s="7" t="str">
        <f aca="false">IF(Productos!B83="","",Productos!B83)</f>
        <v/>
      </c>
      <c r="C83" s="7" t="str">
        <f aca="false">IF(B83="","",Productos!C83)</f>
        <v/>
      </c>
      <c r="D83" s="10" t="str">
        <f aca="false">IF(B83="","",N(Productos!E83))</f>
        <v/>
      </c>
      <c r="E83" s="10" t="str">
        <f aca="false">IF(B83="","",SUMIFS(Compras!$E$5:$E$304,Compras!$B$5:$B$304,B83))</f>
        <v/>
      </c>
      <c r="F83" s="10" t="str">
        <f aca="false">IF(B83="","",SUMIFS(Ventas!$F$5:$F$504,Ventas!$C$5:$C$504,B83))</f>
        <v/>
      </c>
      <c r="G83" s="16" t="str">
        <f aca="false">IF(B83="","",D83+E83-F83)</f>
        <v/>
      </c>
      <c r="H83" s="10" t="str">
        <f aca="false">IF(B83="","",N(Productos!J83))</f>
        <v/>
      </c>
      <c r="I83" s="24" t="str">
        <f aca="false">IF(B83="","",IF(G83&lt;=0,"AGOTADO",IF(G83&lt;=H83,"REPONER","OK")))</f>
        <v/>
      </c>
      <c r="J83" s="11" t="str">
        <f aca="false">IF(B83="","",N(Productos!F83))</f>
        <v/>
      </c>
      <c r="K83" s="11" t="str">
        <f aca="false">IF(B83="","",G83*J83)</f>
        <v/>
      </c>
      <c r="L83" s="11" t="str">
        <f aca="false">IF(B83="","",G83*N(Productos!G83))</f>
        <v/>
      </c>
    </row>
    <row r="84" customFormat="false" ht="15" hidden="false" customHeight="false" outlineLevel="0" collapsed="false">
      <c r="A84" s="7" t="str">
        <f aca="false">IF(Productos!B84="","",Productos!A84)</f>
        <v/>
      </c>
      <c r="B84" s="7" t="str">
        <f aca="false">IF(Productos!B84="","",Productos!B84)</f>
        <v/>
      </c>
      <c r="C84" s="7" t="str">
        <f aca="false">IF(B84="","",Productos!C84)</f>
        <v/>
      </c>
      <c r="D84" s="10" t="str">
        <f aca="false">IF(B84="","",N(Productos!E84))</f>
        <v/>
      </c>
      <c r="E84" s="10" t="str">
        <f aca="false">IF(B84="","",SUMIFS(Compras!$E$5:$E$304,Compras!$B$5:$B$304,B84))</f>
        <v/>
      </c>
      <c r="F84" s="10" t="str">
        <f aca="false">IF(B84="","",SUMIFS(Ventas!$F$5:$F$504,Ventas!$C$5:$C$504,B84))</f>
        <v/>
      </c>
      <c r="G84" s="16" t="str">
        <f aca="false">IF(B84="","",D84+E84-F84)</f>
        <v/>
      </c>
      <c r="H84" s="10" t="str">
        <f aca="false">IF(B84="","",N(Productos!J84))</f>
        <v/>
      </c>
      <c r="I84" s="24" t="str">
        <f aca="false">IF(B84="","",IF(G84&lt;=0,"AGOTADO",IF(G84&lt;=H84,"REPONER","OK")))</f>
        <v/>
      </c>
      <c r="J84" s="11" t="str">
        <f aca="false">IF(B84="","",N(Productos!F84))</f>
        <v/>
      </c>
      <c r="K84" s="11" t="str">
        <f aca="false">IF(B84="","",G84*J84)</f>
        <v/>
      </c>
      <c r="L84" s="11" t="str">
        <f aca="false">IF(B84="","",G84*N(Productos!G84))</f>
        <v/>
      </c>
    </row>
    <row r="85" customFormat="false" ht="15" hidden="false" customHeight="false" outlineLevel="0" collapsed="false">
      <c r="A85" s="7" t="str">
        <f aca="false">IF(Productos!B85="","",Productos!A85)</f>
        <v/>
      </c>
      <c r="B85" s="7" t="str">
        <f aca="false">IF(Productos!B85="","",Productos!B85)</f>
        <v/>
      </c>
      <c r="C85" s="7" t="str">
        <f aca="false">IF(B85="","",Productos!C85)</f>
        <v/>
      </c>
      <c r="D85" s="10" t="str">
        <f aca="false">IF(B85="","",N(Productos!E85))</f>
        <v/>
      </c>
      <c r="E85" s="10" t="str">
        <f aca="false">IF(B85="","",SUMIFS(Compras!$E$5:$E$304,Compras!$B$5:$B$304,B85))</f>
        <v/>
      </c>
      <c r="F85" s="10" t="str">
        <f aca="false">IF(B85="","",SUMIFS(Ventas!$F$5:$F$504,Ventas!$C$5:$C$504,B85))</f>
        <v/>
      </c>
      <c r="G85" s="16" t="str">
        <f aca="false">IF(B85="","",D85+E85-F85)</f>
        <v/>
      </c>
      <c r="H85" s="10" t="str">
        <f aca="false">IF(B85="","",N(Productos!J85))</f>
        <v/>
      </c>
      <c r="I85" s="24" t="str">
        <f aca="false">IF(B85="","",IF(G85&lt;=0,"AGOTADO",IF(G85&lt;=H85,"REPONER","OK")))</f>
        <v/>
      </c>
      <c r="J85" s="11" t="str">
        <f aca="false">IF(B85="","",N(Productos!F85))</f>
        <v/>
      </c>
      <c r="K85" s="11" t="str">
        <f aca="false">IF(B85="","",G85*J85)</f>
        <v/>
      </c>
      <c r="L85" s="11" t="str">
        <f aca="false">IF(B85="","",G85*N(Productos!G85))</f>
        <v/>
      </c>
    </row>
    <row r="86" customFormat="false" ht="15" hidden="false" customHeight="false" outlineLevel="0" collapsed="false">
      <c r="A86" s="7" t="str">
        <f aca="false">IF(Productos!B86="","",Productos!A86)</f>
        <v/>
      </c>
      <c r="B86" s="7" t="str">
        <f aca="false">IF(Productos!B86="","",Productos!B86)</f>
        <v/>
      </c>
      <c r="C86" s="7" t="str">
        <f aca="false">IF(B86="","",Productos!C86)</f>
        <v/>
      </c>
      <c r="D86" s="10" t="str">
        <f aca="false">IF(B86="","",N(Productos!E86))</f>
        <v/>
      </c>
      <c r="E86" s="10" t="str">
        <f aca="false">IF(B86="","",SUMIFS(Compras!$E$5:$E$304,Compras!$B$5:$B$304,B86))</f>
        <v/>
      </c>
      <c r="F86" s="10" t="str">
        <f aca="false">IF(B86="","",SUMIFS(Ventas!$F$5:$F$504,Ventas!$C$5:$C$504,B86))</f>
        <v/>
      </c>
      <c r="G86" s="16" t="str">
        <f aca="false">IF(B86="","",D86+E86-F86)</f>
        <v/>
      </c>
      <c r="H86" s="10" t="str">
        <f aca="false">IF(B86="","",N(Productos!J86))</f>
        <v/>
      </c>
      <c r="I86" s="24" t="str">
        <f aca="false">IF(B86="","",IF(G86&lt;=0,"AGOTADO",IF(G86&lt;=H86,"REPONER","OK")))</f>
        <v/>
      </c>
      <c r="J86" s="11" t="str">
        <f aca="false">IF(B86="","",N(Productos!F86))</f>
        <v/>
      </c>
      <c r="K86" s="11" t="str">
        <f aca="false">IF(B86="","",G86*J86)</f>
        <v/>
      </c>
      <c r="L86" s="11" t="str">
        <f aca="false">IF(B86="","",G86*N(Productos!G86))</f>
        <v/>
      </c>
    </row>
    <row r="87" customFormat="false" ht="15" hidden="false" customHeight="false" outlineLevel="0" collapsed="false">
      <c r="A87" s="7" t="str">
        <f aca="false">IF(Productos!B87="","",Productos!A87)</f>
        <v/>
      </c>
      <c r="B87" s="7" t="str">
        <f aca="false">IF(Productos!B87="","",Productos!B87)</f>
        <v/>
      </c>
      <c r="C87" s="7" t="str">
        <f aca="false">IF(B87="","",Productos!C87)</f>
        <v/>
      </c>
      <c r="D87" s="10" t="str">
        <f aca="false">IF(B87="","",N(Productos!E87))</f>
        <v/>
      </c>
      <c r="E87" s="10" t="str">
        <f aca="false">IF(B87="","",SUMIFS(Compras!$E$5:$E$304,Compras!$B$5:$B$304,B87))</f>
        <v/>
      </c>
      <c r="F87" s="10" t="str">
        <f aca="false">IF(B87="","",SUMIFS(Ventas!$F$5:$F$504,Ventas!$C$5:$C$504,B87))</f>
        <v/>
      </c>
      <c r="G87" s="16" t="str">
        <f aca="false">IF(B87="","",D87+E87-F87)</f>
        <v/>
      </c>
      <c r="H87" s="10" t="str">
        <f aca="false">IF(B87="","",N(Productos!J87))</f>
        <v/>
      </c>
      <c r="I87" s="24" t="str">
        <f aca="false">IF(B87="","",IF(G87&lt;=0,"AGOTADO",IF(G87&lt;=H87,"REPONER","OK")))</f>
        <v/>
      </c>
      <c r="J87" s="11" t="str">
        <f aca="false">IF(B87="","",N(Productos!F87))</f>
        <v/>
      </c>
      <c r="K87" s="11" t="str">
        <f aca="false">IF(B87="","",G87*J87)</f>
        <v/>
      </c>
      <c r="L87" s="11" t="str">
        <f aca="false">IF(B87="","",G87*N(Productos!G87))</f>
        <v/>
      </c>
    </row>
    <row r="88" customFormat="false" ht="15" hidden="false" customHeight="false" outlineLevel="0" collapsed="false">
      <c r="A88" s="7" t="str">
        <f aca="false">IF(Productos!B88="","",Productos!A88)</f>
        <v/>
      </c>
      <c r="B88" s="7" t="str">
        <f aca="false">IF(Productos!B88="","",Productos!B88)</f>
        <v/>
      </c>
      <c r="C88" s="7" t="str">
        <f aca="false">IF(B88="","",Productos!C88)</f>
        <v/>
      </c>
      <c r="D88" s="10" t="str">
        <f aca="false">IF(B88="","",N(Productos!E88))</f>
        <v/>
      </c>
      <c r="E88" s="10" t="str">
        <f aca="false">IF(B88="","",SUMIFS(Compras!$E$5:$E$304,Compras!$B$5:$B$304,B88))</f>
        <v/>
      </c>
      <c r="F88" s="10" t="str">
        <f aca="false">IF(B88="","",SUMIFS(Ventas!$F$5:$F$504,Ventas!$C$5:$C$504,B88))</f>
        <v/>
      </c>
      <c r="G88" s="16" t="str">
        <f aca="false">IF(B88="","",D88+E88-F88)</f>
        <v/>
      </c>
      <c r="H88" s="10" t="str">
        <f aca="false">IF(B88="","",N(Productos!J88))</f>
        <v/>
      </c>
      <c r="I88" s="24" t="str">
        <f aca="false">IF(B88="","",IF(G88&lt;=0,"AGOTADO",IF(G88&lt;=H88,"REPONER","OK")))</f>
        <v/>
      </c>
      <c r="J88" s="11" t="str">
        <f aca="false">IF(B88="","",N(Productos!F88))</f>
        <v/>
      </c>
      <c r="K88" s="11" t="str">
        <f aca="false">IF(B88="","",G88*J88)</f>
        <v/>
      </c>
      <c r="L88" s="11" t="str">
        <f aca="false">IF(B88="","",G88*N(Productos!G88))</f>
        <v/>
      </c>
    </row>
    <row r="89" customFormat="false" ht="15" hidden="false" customHeight="false" outlineLevel="0" collapsed="false">
      <c r="A89" s="7" t="str">
        <f aca="false">IF(Productos!B89="","",Productos!A89)</f>
        <v/>
      </c>
      <c r="B89" s="7" t="str">
        <f aca="false">IF(Productos!B89="","",Productos!B89)</f>
        <v/>
      </c>
      <c r="C89" s="7" t="str">
        <f aca="false">IF(B89="","",Productos!C89)</f>
        <v/>
      </c>
      <c r="D89" s="10" t="str">
        <f aca="false">IF(B89="","",N(Productos!E89))</f>
        <v/>
      </c>
      <c r="E89" s="10" t="str">
        <f aca="false">IF(B89="","",SUMIFS(Compras!$E$5:$E$304,Compras!$B$5:$B$304,B89))</f>
        <v/>
      </c>
      <c r="F89" s="10" t="str">
        <f aca="false">IF(B89="","",SUMIFS(Ventas!$F$5:$F$504,Ventas!$C$5:$C$504,B89))</f>
        <v/>
      </c>
      <c r="G89" s="16" t="str">
        <f aca="false">IF(B89="","",D89+E89-F89)</f>
        <v/>
      </c>
      <c r="H89" s="10" t="str">
        <f aca="false">IF(B89="","",N(Productos!J89))</f>
        <v/>
      </c>
      <c r="I89" s="24" t="str">
        <f aca="false">IF(B89="","",IF(G89&lt;=0,"AGOTADO",IF(G89&lt;=H89,"REPONER","OK")))</f>
        <v/>
      </c>
      <c r="J89" s="11" t="str">
        <f aca="false">IF(B89="","",N(Productos!F89))</f>
        <v/>
      </c>
      <c r="K89" s="11" t="str">
        <f aca="false">IF(B89="","",G89*J89)</f>
        <v/>
      </c>
      <c r="L89" s="11" t="str">
        <f aca="false">IF(B89="","",G89*N(Productos!G89))</f>
        <v/>
      </c>
    </row>
    <row r="90" customFormat="false" ht="15" hidden="false" customHeight="false" outlineLevel="0" collapsed="false">
      <c r="A90" s="7" t="str">
        <f aca="false">IF(Productos!B90="","",Productos!A90)</f>
        <v/>
      </c>
      <c r="B90" s="7" t="str">
        <f aca="false">IF(Productos!B90="","",Productos!B90)</f>
        <v/>
      </c>
      <c r="C90" s="7" t="str">
        <f aca="false">IF(B90="","",Productos!C90)</f>
        <v/>
      </c>
      <c r="D90" s="10" t="str">
        <f aca="false">IF(B90="","",N(Productos!E90))</f>
        <v/>
      </c>
      <c r="E90" s="10" t="str">
        <f aca="false">IF(B90="","",SUMIFS(Compras!$E$5:$E$304,Compras!$B$5:$B$304,B90))</f>
        <v/>
      </c>
      <c r="F90" s="10" t="str">
        <f aca="false">IF(B90="","",SUMIFS(Ventas!$F$5:$F$504,Ventas!$C$5:$C$504,B90))</f>
        <v/>
      </c>
      <c r="G90" s="16" t="str">
        <f aca="false">IF(B90="","",D90+E90-F90)</f>
        <v/>
      </c>
      <c r="H90" s="10" t="str">
        <f aca="false">IF(B90="","",N(Productos!J90))</f>
        <v/>
      </c>
      <c r="I90" s="24" t="str">
        <f aca="false">IF(B90="","",IF(G90&lt;=0,"AGOTADO",IF(G90&lt;=H90,"REPONER","OK")))</f>
        <v/>
      </c>
      <c r="J90" s="11" t="str">
        <f aca="false">IF(B90="","",N(Productos!F90))</f>
        <v/>
      </c>
      <c r="K90" s="11" t="str">
        <f aca="false">IF(B90="","",G90*J90)</f>
        <v/>
      </c>
      <c r="L90" s="11" t="str">
        <f aca="false">IF(B90="","",G90*N(Productos!G90))</f>
        <v/>
      </c>
    </row>
    <row r="91" customFormat="false" ht="15" hidden="false" customHeight="false" outlineLevel="0" collapsed="false">
      <c r="A91" s="7" t="str">
        <f aca="false">IF(Productos!B91="","",Productos!A91)</f>
        <v/>
      </c>
      <c r="B91" s="7" t="str">
        <f aca="false">IF(Productos!B91="","",Productos!B91)</f>
        <v/>
      </c>
      <c r="C91" s="7" t="str">
        <f aca="false">IF(B91="","",Productos!C91)</f>
        <v/>
      </c>
      <c r="D91" s="10" t="str">
        <f aca="false">IF(B91="","",N(Productos!E91))</f>
        <v/>
      </c>
      <c r="E91" s="10" t="str">
        <f aca="false">IF(B91="","",SUMIFS(Compras!$E$5:$E$304,Compras!$B$5:$B$304,B91))</f>
        <v/>
      </c>
      <c r="F91" s="10" t="str">
        <f aca="false">IF(B91="","",SUMIFS(Ventas!$F$5:$F$504,Ventas!$C$5:$C$504,B91))</f>
        <v/>
      </c>
      <c r="G91" s="16" t="str">
        <f aca="false">IF(B91="","",D91+E91-F91)</f>
        <v/>
      </c>
      <c r="H91" s="10" t="str">
        <f aca="false">IF(B91="","",N(Productos!J91))</f>
        <v/>
      </c>
      <c r="I91" s="24" t="str">
        <f aca="false">IF(B91="","",IF(G91&lt;=0,"AGOTADO",IF(G91&lt;=H91,"REPONER","OK")))</f>
        <v/>
      </c>
      <c r="J91" s="11" t="str">
        <f aca="false">IF(B91="","",N(Productos!F91))</f>
        <v/>
      </c>
      <c r="K91" s="11" t="str">
        <f aca="false">IF(B91="","",G91*J91)</f>
        <v/>
      </c>
      <c r="L91" s="11" t="str">
        <f aca="false">IF(B91="","",G91*N(Productos!G91))</f>
        <v/>
      </c>
    </row>
    <row r="92" customFormat="false" ht="15" hidden="false" customHeight="false" outlineLevel="0" collapsed="false">
      <c r="A92" s="7" t="str">
        <f aca="false">IF(Productos!B92="","",Productos!A92)</f>
        <v/>
      </c>
      <c r="B92" s="7" t="str">
        <f aca="false">IF(Productos!B92="","",Productos!B92)</f>
        <v/>
      </c>
      <c r="C92" s="7" t="str">
        <f aca="false">IF(B92="","",Productos!C92)</f>
        <v/>
      </c>
      <c r="D92" s="10" t="str">
        <f aca="false">IF(B92="","",N(Productos!E92))</f>
        <v/>
      </c>
      <c r="E92" s="10" t="str">
        <f aca="false">IF(B92="","",SUMIFS(Compras!$E$5:$E$304,Compras!$B$5:$B$304,B92))</f>
        <v/>
      </c>
      <c r="F92" s="10" t="str">
        <f aca="false">IF(B92="","",SUMIFS(Ventas!$F$5:$F$504,Ventas!$C$5:$C$504,B92))</f>
        <v/>
      </c>
      <c r="G92" s="16" t="str">
        <f aca="false">IF(B92="","",D92+E92-F92)</f>
        <v/>
      </c>
      <c r="H92" s="10" t="str">
        <f aca="false">IF(B92="","",N(Productos!J92))</f>
        <v/>
      </c>
      <c r="I92" s="24" t="str">
        <f aca="false">IF(B92="","",IF(G92&lt;=0,"AGOTADO",IF(G92&lt;=H92,"REPONER","OK")))</f>
        <v/>
      </c>
      <c r="J92" s="11" t="str">
        <f aca="false">IF(B92="","",N(Productos!F92))</f>
        <v/>
      </c>
      <c r="K92" s="11" t="str">
        <f aca="false">IF(B92="","",G92*J92)</f>
        <v/>
      </c>
      <c r="L92" s="11" t="str">
        <f aca="false">IF(B92="","",G92*N(Productos!G92))</f>
        <v/>
      </c>
    </row>
    <row r="93" customFormat="false" ht="15" hidden="false" customHeight="false" outlineLevel="0" collapsed="false">
      <c r="A93" s="7" t="str">
        <f aca="false">IF(Productos!B93="","",Productos!A93)</f>
        <v/>
      </c>
      <c r="B93" s="7" t="str">
        <f aca="false">IF(Productos!B93="","",Productos!B93)</f>
        <v/>
      </c>
      <c r="C93" s="7" t="str">
        <f aca="false">IF(B93="","",Productos!C93)</f>
        <v/>
      </c>
      <c r="D93" s="10" t="str">
        <f aca="false">IF(B93="","",N(Productos!E93))</f>
        <v/>
      </c>
      <c r="E93" s="10" t="str">
        <f aca="false">IF(B93="","",SUMIFS(Compras!$E$5:$E$304,Compras!$B$5:$B$304,B93))</f>
        <v/>
      </c>
      <c r="F93" s="10" t="str">
        <f aca="false">IF(B93="","",SUMIFS(Ventas!$F$5:$F$504,Ventas!$C$5:$C$504,B93))</f>
        <v/>
      </c>
      <c r="G93" s="16" t="str">
        <f aca="false">IF(B93="","",D93+E93-F93)</f>
        <v/>
      </c>
      <c r="H93" s="10" t="str">
        <f aca="false">IF(B93="","",N(Productos!J93))</f>
        <v/>
      </c>
      <c r="I93" s="24" t="str">
        <f aca="false">IF(B93="","",IF(G93&lt;=0,"AGOTADO",IF(G93&lt;=H93,"REPONER","OK")))</f>
        <v/>
      </c>
      <c r="J93" s="11" t="str">
        <f aca="false">IF(B93="","",N(Productos!F93))</f>
        <v/>
      </c>
      <c r="K93" s="11" t="str">
        <f aca="false">IF(B93="","",G93*J93)</f>
        <v/>
      </c>
      <c r="L93" s="11" t="str">
        <f aca="false">IF(B93="","",G93*N(Productos!G93))</f>
        <v/>
      </c>
    </row>
    <row r="94" customFormat="false" ht="15" hidden="false" customHeight="false" outlineLevel="0" collapsed="false">
      <c r="A94" s="7" t="str">
        <f aca="false">IF(Productos!B94="","",Productos!A94)</f>
        <v/>
      </c>
      <c r="B94" s="7" t="str">
        <f aca="false">IF(Productos!B94="","",Productos!B94)</f>
        <v/>
      </c>
      <c r="C94" s="7" t="str">
        <f aca="false">IF(B94="","",Productos!C94)</f>
        <v/>
      </c>
      <c r="D94" s="10" t="str">
        <f aca="false">IF(B94="","",N(Productos!E94))</f>
        <v/>
      </c>
      <c r="E94" s="10" t="str">
        <f aca="false">IF(B94="","",SUMIFS(Compras!$E$5:$E$304,Compras!$B$5:$B$304,B94))</f>
        <v/>
      </c>
      <c r="F94" s="10" t="str">
        <f aca="false">IF(B94="","",SUMIFS(Ventas!$F$5:$F$504,Ventas!$C$5:$C$504,B94))</f>
        <v/>
      </c>
      <c r="G94" s="16" t="str">
        <f aca="false">IF(B94="","",D94+E94-F94)</f>
        <v/>
      </c>
      <c r="H94" s="10" t="str">
        <f aca="false">IF(B94="","",N(Productos!J94))</f>
        <v/>
      </c>
      <c r="I94" s="24" t="str">
        <f aca="false">IF(B94="","",IF(G94&lt;=0,"AGOTADO",IF(G94&lt;=H94,"REPONER","OK")))</f>
        <v/>
      </c>
      <c r="J94" s="11" t="str">
        <f aca="false">IF(B94="","",N(Productos!F94))</f>
        <v/>
      </c>
      <c r="K94" s="11" t="str">
        <f aca="false">IF(B94="","",G94*J94)</f>
        <v/>
      </c>
      <c r="L94" s="11" t="str">
        <f aca="false">IF(B94="","",G94*N(Productos!G94))</f>
        <v/>
      </c>
    </row>
    <row r="95" customFormat="false" ht="15" hidden="false" customHeight="false" outlineLevel="0" collapsed="false">
      <c r="A95" s="7" t="str">
        <f aca="false">IF(Productos!B95="","",Productos!A95)</f>
        <v/>
      </c>
      <c r="B95" s="7" t="str">
        <f aca="false">IF(Productos!B95="","",Productos!B95)</f>
        <v/>
      </c>
      <c r="C95" s="7" t="str">
        <f aca="false">IF(B95="","",Productos!C95)</f>
        <v/>
      </c>
      <c r="D95" s="10" t="str">
        <f aca="false">IF(B95="","",N(Productos!E95))</f>
        <v/>
      </c>
      <c r="E95" s="10" t="str">
        <f aca="false">IF(B95="","",SUMIFS(Compras!$E$5:$E$304,Compras!$B$5:$B$304,B95))</f>
        <v/>
      </c>
      <c r="F95" s="10" t="str">
        <f aca="false">IF(B95="","",SUMIFS(Ventas!$F$5:$F$504,Ventas!$C$5:$C$504,B95))</f>
        <v/>
      </c>
      <c r="G95" s="16" t="str">
        <f aca="false">IF(B95="","",D95+E95-F95)</f>
        <v/>
      </c>
      <c r="H95" s="10" t="str">
        <f aca="false">IF(B95="","",N(Productos!J95))</f>
        <v/>
      </c>
      <c r="I95" s="24" t="str">
        <f aca="false">IF(B95="","",IF(G95&lt;=0,"AGOTADO",IF(G95&lt;=H95,"REPONER","OK")))</f>
        <v/>
      </c>
      <c r="J95" s="11" t="str">
        <f aca="false">IF(B95="","",N(Productos!F95))</f>
        <v/>
      </c>
      <c r="K95" s="11" t="str">
        <f aca="false">IF(B95="","",G95*J95)</f>
        <v/>
      </c>
      <c r="L95" s="11" t="str">
        <f aca="false">IF(B95="","",G95*N(Productos!G95))</f>
        <v/>
      </c>
    </row>
    <row r="96" customFormat="false" ht="15" hidden="false" customHeight="false" outlineLevel="0" collapsed="false">
      <c r="A96" s="7" t="str">
        <f aca="false">IF(Productos!B96="","",Productos!A96)</f>
        <v/>
      </c>
      <c r="B96" s="7" t="str">
        <f aca="false">IF(Productos!B96="","",Productos!B96)</f>
        <v/>
      </c>
      <c r="C96" s="7" t="str">
        <f aca="false">IF(B96="","",Productos!C96)</f>
        <v/>
      </c>
      <c r="D96" s="10" t="str">
        <f aca="false">IF(B96="","",N(Productos!E96))</f>
        <v/>
      </c>
      <c r="E96" s="10" t="str">
        <f aca="false">IF(B96="","",SUMIFS(Compras!$E$5:$E$304,Compras!$B$5:$B$304,B96))</f>
        <v/>
      </c>
      <c r="F96" s="10" t="str">
        <f aca="false">IF(B96="","",SUMIFS(Ventas!$F$5:$F$504,Ventas!$C$5:$C$504,B96))</f>
        <v/>
      </c>
      <c r="G96" s="16" t="str">
        <f aca="false">IF(B96="","",D96+E96-F96)</f>
        <v/>
      </c>
      <c r="H96" s="10" t="str">
        <f aca="false">IF(B96="","",N(Productos!J96))</f>
        <v/>
      </c>
      <c r="I96" s="24" t="str">
        <f aca="false">IF(B96="","",IF(G96&lt;=0,"AGOTADO",IF(G96&lt;=H96,"REPONER","OK")))</f>
        <v/>
      </c>
      <c r="J96" s="11" t="str">
        <f aca="false">IF(B96="","",N(Productos!F96))</f>
        <v/>
      </c>
      <c r="K96" s="11" t="str">
        <f aca="false">IF(B96="","",G96*J96)</f>
        <v/>
      </c>
      <c r="L96" s="11" t="str">
        <f aca="false">IF(B96="","",G96*N(Productos!G96))</f>
        <v/>
      </c>
    </row>
    <row r="97" customFormat="false" ht="15" hidden="false" customHeight="false" outlineLevel="0" collapsed="false">
      <c r="A97" s="7" t="str">
        <f aca="false">IF(Productos!B97="","",Productos!A97)</f>
        <v/>
      </c>
      <c r="B97" s="7" t="str">
        <f aca="false">IF(Productos!B97="","",Productos!B97)</f>
        <v/>
      </c>
      <c r="C97" s="7" t="str">
        <f aca="false">IF(B97="","",Productos!C97)</f>
        <v/>
      </c>
      <c r="D97" s="10" t="str">
        <f aca="false">IF(B97="","",N(Productos!E97))</f>
        <v/>
      </c>
      <c r="E97" s="10" t="str">
        <f aca="false">IF(B97="","",SUMIFS(Compras!$E$5:$E$304,Compras!$B$5:$B$304,B97))</f>
        <v/>
      </c>
      <c r="F97" s="10" t="str">
        <f aca="false">IF(B97="","",SUMIFS(Ventas!$F$5:$F$504,Ventas!$C$5:$C$504,B97))</f>
        <v/>
      </c>
      <c r="G97" s="16" t="str">
        <f aca="false">IF(B97="","",D97+E97-F97)</f>
        <v/>
      </c>
      <c r="H97" s="10" t="str">
        <f aca="false">IF(B97="","",N(Productos!J97))</f>
        <v/>
      </c>
      <c r="I97" s="24" t="str">
        <f aca="false">IF(B97="","",IF(G97&lt;=0,"AGOTADO",IF(G97&lt;=H97,"REPONER","OK")))</f>
        <v/>
      </c>
      <c r="J97" s="11" t="str">
        <f aca="false">IF(B97="","",N(Productos!F97))</f>
        <v/>
      </c>
      <c r="K97" s="11" t="str">
        <f aca="false">IF(B97="","",G97*J97)</f>
        <v/>
      </c>
      <c r="L97" s="11" t="str">
        <f aca="false">IF(B97="","",G97*N(Productos!G97))</f>
        <v/>
      </c>
    </row>
    <row r="98" customFormat="false" ht="15" hidden="false" customHeight="false" outlineLevel="0" collapsed="false">
      <c r="A98" s="7" t="str">
        <f aca="false">IF(Productos!B98="","",Productos!A98)</f>
        <v/>
      </c>
      <c r="B98" s="7" t="str">
        <f aca="false">IF(Productos!B98="","",Productos!B98)</f>
        <v/>
      </c>
      <c r="C98" s="7" t="str">
        <f aca="false">IF(B98="","",Productos!C98)</f>
        <v/>
      </c>
      <c r="D98" s="10" t="str">
        <f aca="false">IF(B98="","",N(Productos!E98))</f>
        <v/>
      </c>
      <c r="E98" s="10" t="str">
        <f aca="false">IF(B98="","",SUMIFS(Compras!$E$5:$E$304,Compras!$B$5:$B$304,B98))</f>
        <v/>
      </c>
      <c r="F98" s="10" t="str">
        <f aca="false">IF(B98="","",SUMIFS(Ventas!$F$5:$F$504,Ventas!$C$5:$C$504,B98))</f>
        <v/>
      </c>
      <c r="G98" s="16" t="str">
        <f aca="false">IF(B98="","",D98+E98-F98)</f>
        <v/>
      </c>
      <c r="H98" s="10" t="str">
        <f aca="false">IF(B98="","",N(Productos!J98))</f>
        <v/>
      </c>
      <c r="I98" s="24" t="str">
        <f aca="false">IF(B98="","",IF(G98&lt;=0,"AGOTADO",IF(G98&lt;=H98,"REPONER","OK")))</f>
        <v/>
      </c>
      <c r="J98" s="11" t="str">
        <f aca="false">IF(B98="","",N(Productos!F98))</f>
        <v/>
      </c>
      <c r="K98" s="11" t="str">
        <f aca="false">IF(B98="","",G98*J98)</f>
        <v/>
      </c>
      <c r="L98" s="11" t="str">
        <f aca="false">IF(B98="","",G98*N(Productos!G98))</f>
        <v/>
      </c>
    </row>
    <row r="99" customFormat="false" ht="15" hidden="false" customHeight="false" outlineLevel="0" collapsed="false">
      <c r="A99" s="7" t="str">
        <f aca="false">IF(Productos!B99="","",Productos!A99)</f>
        <v/>
      </c>
      <c r="B99" s="7" t="str">
        <f aca="false">IF(Productos!B99="","",Productos!B99)</f>
        <v/>
      </c>
      <c r="C99" s="7" t="str">
        <f aca="false">IF(B99="","",Productos!C99)</f>
        <v/>
      </c>
      <c r="D99" s="10" t="str">
        <f aca="false">IF(B99="","",N(Productos!E99))</f>
        <v/>
      </c>
      <c r="E99" s="10" t="str">
        <f aca="false">IF(B99="","",SUMIFS(Compras!$E$5:$E$304,Compras!$B$5:$B$304,B99))</f>
        <v/>
      </c>
      <c r="F99" s="10" t="str">
        <f aca="false">IF(B99="","",SUMIFS(Ventas!$F$5:$F$504,Ventas!$C$5:$C$504,B99))</f>
        <v/>
      </c>
      <c r="G99" s="16" t="str">
        <f aca="false">IF(B99="","",D99+E99-F99)</f>
        <v/>
      </c>
      <c r="H99" s="10" t="str">
        <f aca="false">IF(B99="","",N(Productos!J99))</f>
        <v/>
      </c>
      <c r="I99" s="24" t="str">
        <f aca="false">IF(B99="","",IF(G99&lt;=0,"AGOTADO",IF(G99&lt;=H99,"REPONER","OK")))</f>
        <v/>
      </c>
      <c r="J99" s="11" t="str">
        <f aca="false">IF(B99="","",N(Productos!F99))</f>
        <v/>
      </c>
      <c r="K99" s="11" t="str">
        <f aca="false">IF(B99="","",G99*J99)</f>
        <v/>
      </c>
      <c r="L99" s="11" t="str">
        <f aca="false">IF(B99="","",G99*N(Productos!G99))</f>
        <v/>
      </c>
    </row>
    <row r="100" customFormat="false" ht="15" hidden="false" customHeight="false" outlineLevel="0" collapsed="false">
      <c r="A100" s="7" t="str">
        <f aca="false">IF(Productos!B100="","",Productos!A100)</f>
        <v/>
      </c>
      <c r="B100" s="7" t="str">
        <f aca="false">IF(Productos!B100="","",Productos!B100)</f>
        <v/>
      </c>
      <c r="C100" s="7" t="str">
        <f aca="false">IF(B100="","",Productos!C100)</f>
        <v/>
      </c>
      <c r="D100" s="10" t="str">
        <f aca="false">IF(B100="","",N(Productos!E100))</f>
        <v/>
      </c>
      <c r="E100" s="10" t="str">
        <f aca="false">IF(B100="","",SUMIFS(Compras!$E$5:$E$304,Compras!$B$5:$B$304,B100))</f>
        <v/>
      </c>
      <c r="F100" s="10" t="str">
        <f aca="false">IF(B100="","",SUMIFS(Ventas!$F$5:$F$504,Ventas!$C$5:$C$504,B100))</f>
        <v/>
      </c>
      <c r="G100" s="16" t="str">
        <f aca="false">IF(B100="","",D100+E100-F100)</f>
        <v/>
      </c>
      <c r="H100" s="10" t="str">
        <f aca="false">IF(B100="","",N(Productos!J100))</f>
        <v/>
      </c>
      <c r="I100" s="24" t="str">
        <f aca="false">IF(B100="","",IF(G100&lt;=0,"AGOTADO",IF(G100&lt;=H100,"REPONER","OK")))</f>
        <v/>
      </c>
      <c r="J100" s="11" t="str">
        <f aca="false">IF(B100="","",N(Productos!F100))</f>
        <v/>
      </c>
      <c r="K100" s="11" t="str">
        <f aca="false">IF(B100="","",G100*J100)</f>
        <v/>
      </c>
      <c r="L100" s="11" t="str">
        <f aca="false">IF(B100="","",G100*N(Productos!G100))</f>
        <v/>
      </c>
    </row>
    <row r="101" customFormat="false" ht="15" hidden="false" customHeight="false" outlineLevel="0" collapsed="false">
      <c r="A101" s="7" t="str">
        <f aca="false">IF(Productos!B101="","",Productos!A101)</f>
        <v/>
      </c>
      <c r="B101" s="7" t="str">
        <f aca="false">IF(Productos!B101="","",Productos!B101)</f>
        <v/>
      </c>
      <c r="C101" s="7" t="str">
        <f aca="false">IF(B101="","",Productos!C101)</f>
        <v/>
      </c>
      <c r="D101" s="10" t="str">
        <f aca="false">IF(B101="","",N(Productos!E101))</f>
        <v/>
      </c>
      <c r="E101" s="10" t="str">
        <f aca="false">IF(B101="","",SUMIFS(Compras!$E$5:$E$304,Compras!$B$5:$B$304,B101))</f>
        <v/>
      </c>
      <c r="F101" s="10" t="str">
        <f aca="false">IF(B101="","",SUMIFS(Ventas!$F$5:$F$504,Ventas!$C$5:$C$504,B101))</f>
        <v/>
      </c>
      <c r="G101" s="16" t="str">
        <f aca="false">IF(B101="","",D101+E101-F101)</f>
        <v/>
      </c>
      <c r="H101" s="10" t="str">
        <f aca="false">IF(B101="","",N(Productos!J101))</f>
        <v/>
      </c>
      <c r="I101" s="24" t="str">
        <f aca="false">IF(B101="","",IF(G101&lt;=0,"AGOTADO",IF(G101&lt;=H101,"REPONER","OK")))</f>
        <v/>
      </c>
      <c r="J101" s="11" t="str">
        <f aca="false">IF(B101="","",N(Productos!F101))</f>
        <v/>
      </c>
      <c r="K101" s="11" t="str">
        <f aca="false">IF(B101="","",G101*J101)</f>
        <v/>
      </c>
      <c r="L101" s="11" t="str">
        <f aca="false">IF(B101="","",G101*N(Productos!G101))</f>
        <v/>
      </c>
    </row>
    <row r="102" customFormat="false" ht="15" hidden="false" customHeight="false" outlineLevel="0" collapsed="false">
      <c r="A102" s="7" t="str">
        <f aca="false">IF(Productos!B102="","",Productos!A102)</f>
        <v/>
      </c>
      <c r="B102" s="7" t="str">
        <f aca="false">IF(Productos!B102="","",Productos!B102)</f>
        <v/>
      </c>
      <c r="C102" s="7" t="str">
        <f aca="false">IF(B102="","",Productos!C102)</f>
        <v/>
      </c>
      <c r="D102" s="10" t="str">
        <f aca="false">IF(B102="","",N(Productos!E102))</f>
        <v/>
      </c>
      <c r="E102" s="10" t="str">
        <f aca="false">IF(B102="","",SUMIFS(Compras!$E$5:$E$304,Compras!$B$5:$B$304,B102))</f>
        <v/>
      </c>
      <c r="F102" s="10" t="str">
        <f aca="false">IF(B102="","",SUMIFS(Ventas!$F$5:$F$504,Ventas!$C$5:$C$504,B102))</f>
        <v/>
      </c>
      <c r="G102" s="16" t="str">
        <f aca="false">IF(B102="","",D102+E102-F102)</f>
        <v/>
      </c>
      <c r="H102" s="10" t="str">
        <f aca="false">IF(B102="","",N(Productos!J102))</f>
        <v/>
      </c>
      <c r="I102" s="24" t="str">
        <f aca="false">IF(B102="","",IF(G102&lt;=0,"AGOTADO",IF(G102&lt;=H102,"REPONER","OK")))</f>
        <v/>
      </c>
      <c r="J102" s="11" t="str">
        <f aca="false">IF(B102="","",N(Productos!F102))</f>
        <v/>
      </c>
      <c r="K102" s="11" t="str">
        <f aca="false">IF(B102="","",G102*J102)</f>
        <v/>
      </c>
      <c r="L102" s="11" t="str">
        <f aca="false">IF(B102="","",G102*N(Productos!G102))</f>
        <v/>
      </c>
    </row>
    <row r="103" customFormat="false" ht="15" hidden="false" customHeight="false" outlineLevel="0" collapsed="false">
      <c r="A103" s="7" t="str">
        <f aca="false">IF(Productos!B103="","",Productos!A103)</f>
        <v/>
      </c>
      <c r="B103" s="7" t="str">
        <f aca="false">IF(Productos!B103="","",Productos!B103)</f>
        <v/>
      </c>
      <c r="C103" s="7" t="str">
        <f aca="false">IF(B103="","",Productos!C103)</f>
        <v/>
      </c>
      <c r="D103" s="10" t="str">
        <f aca="false">IF(B103="","",N(Productos!E103))</f>
        <v/>
      </c>
      <c r="E103" s="10" t="str">
        <f aca="false">IF(B103="","",SUMIFS(Compras!$E$5:$E$304,Compras!$B$5:$B$304,B103))</f>
        <v/>
      </c>
      <c r="F103" s="10" t="str">
        <f aca="false">IF(B103="","",SUMIFS(Ventas!$F$5:$F$504,Ventas!$C$5:$C$504,B103))</f>
        <v/>
      </c>
      <c r="G103" s="16" t="str">
        <f aca="false">IF(B103="","",D103+E103-F103)</f>
        <v/>
      </c>
      <c r="H103" s="10" t="str">
        <f aca="false">IF(B103="","",N(Productos!J103))</f>
        <v/>
      </c>
      <c r="I103" s="24" t="str">
        <f aca="false">IF(B103="","",IF(G103&lt;=0,"AGOTADO",IF(G103&lt;=H103,"REPONER","OK")))</f>
        <v/>
      </c>
      <c r="J103" s="11" t="str">
        <f aca="false">IF(B103="","",N(Productos!F103))</f>
        <v/>
      </c>
      <c r="K103" s="11" t="str">
        <f aca="false">IF(B103="","",G103*J103)</f>
        <v/>
      </c>
      <c r="L103" s="11" t="str">
        <f aca="false">IF(B103="","",G103*N(Productos!G103))</f>
        <v/>
      </c>
    </row>
    <row r="104" customFormat="false" ht="15" hidden="false" customHeight="false" outlineLevel="0" collapsed="false">
      <c r="A104" s="7" t="str">
        <f aca="false">IF(Productos!B104="","",Productos!A104)</f>
        <v/>
      </c>
      <c r="B104" s="7" t="str">
        <f aca="false">IF(Productos!B104="","",Productos!B104)</f>
        <v/>
      </c>
      <c r="C104" s="7" t="str">
        <f aca="false">IF(B104="","",Productos!C104)</f>
        <v/>
      </c>
      <c r="D104" s="10" t="str">
        <f aca="false">IF(B104="","",N(Productos!E104))</f>
        <v/>
      </c>
      <c r="E104" s="10" t="str">
        <f aca="false">IF(B104="","",SUMIFS(Compras!$E$5:$E$304,Compras!$B$5:$B$304,B104))</f>
        <v/>
      </c>
      <c r="F104" s="10" t="str">
        <f aca="false">IF(B104="","",SUMIFS(Ventas!$F$5:$F$504,Ventas!$C$5:$C$504,B104))</f>
        <v/>
      </c>
      <c r="G104" s="16" t="str">
        <f aca="false">IF(B104="","",D104+E104-F104)</f>
        <v/>
      </c>
      <c r="H104" s="10" t="str">
        <f aca="false">IF(B104="","",N(Productos!J104))</f>
        <v/>
      </c>
      <c r="I104" s="24" t="str">
        <f aca="false">IF(B104="","",IF(G104&lt;=0,"AGOTADO",IF(G104&lt;=H104,"REPONER","OK")))</f>
        <v/>
      </c>
      <c r="J104" s="11" t="str">
        <f aca="false">IF(B104="","",N(Productos!F104))</f>
        <v/>
      </c>
      <c r="K104" s="11" t="str">
        <f aca="false">IF(B104="","",G104*J104)</f>
        <v/>
      </c>
      <c r="L104" s="11" t="str">
        <f aca="false">IF(B104="","",G104*N(Productos!G104))</f>
        <v/>
      </c>
    </row>
  </sheetData>
  <conditionalFormatting sqref="I5:I104">
    <cfRule type="expression" priority="2" aboveAverage="0" equalAverage="0" bottom="0" percent="0" rank="0" text="" dxfId="0">
      <formula>$I5="AGOTADO"</formula>
    </cfRule>
    <cfRule type="expression" priority="3" aboveAverage="0" equalAverage="0" bottom="0" percent="0" rank="0" text="" dxfId="1">
      <formula>$I5="REPONER"</formula>
    </cfRule>
    <cfRule type="expression" priority="4" aboveAverage="0" equalAverage="0" bottom="0" percent="0" rank="0" text="" dxfId="2">
      <formula>$I5="OK"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3" min="12" style="0" width="12"/>
  </cols>
  <sheetData>
    <row r="1" customFormat="false" ht="19.7" hidden="false" customHeight="false" outlineLevel="0" collapsed="false">
      <c r="A1" s="1" t="s">
        <v>108</v>
      </c>
    </row>
    <row r="2" customFormat="false" ht="15" hidden="false" customHeight="false" outlineLevel="0" collapsed="false">
      <c r="A2" s="5" t="s">
        <v>109</v>
      </c>
    </row>
    <row r="3" customFormat="false" ht="15" hidden="false" customHeight="false" outlineLevel="0" collapsed="false">
      <c r="A3" s="9" t="s">
        <v>102</v>
      </c>
      <c r="B3" s="9"/>
      <c r="C3" s="9"/>
      <c r="D3" s="9"/>
      <c r="E3" s="9"/>
      <c r="F3" s="13" t="n">
        <f aca="false">SUM(F5:F504)</f>
        <v>124</v>
      </c>
      <c r="G3" s="9"/>
      <c r="H3" s="9"/>
      <c r="I3" s="14" t="n">
        <f aca="false">SUM(I5:I504)</f>
        <v>285.06</v>
      </c>
      <c r="J3" s="9"/>
      <c r="K3" s="9"/>
      <c r="L3" s="14" t="n">
        <f aca="false">SUM(L5:L504)</f>
        <v>166.95</v>
      </c>
      <c r="M3" s="14" t="n">
        <f aca="false">SUM(M5:M504)</f>
        <v>118.11</v>
      </c>
    </row>
    <row r="4" customFormat="false" ht="31.5" hidden="false" customHeight="true" outlineLevel="0" collapsed="false">
      <c r="A4" s="19" t="s">
        <v>110</v>
      </c>
      <c r="B4" s="19" t="s">
        <v>111</v>
      </c>
      <c r="C4" s="19" t="s">
        <v>56</v>
      </c>
      <c r="D4" s="19" t="s">
        <v>55</v>
      </c>
      <c r="E4" s="19" t="s">
        <v>34</v>
      </c>
      <c r="F4" s="19" t="s">
        <v>112</v>
      </c>
      <c r="G4" s="19" t="s">
        <v>113</v>
      </c>
      <c r="H4" s="19" t="s">
        <v>114</v>
      </c>
      <c r="I4" s="19" t="s">
        <v>115</v>
      </c>
      <c r="J4" s="19" t="s">
        <v>116</v>
      </c>
      <c r="K4" s="19" t="s">
        <v>117</v>
      </c>
      <c r="L4" s="19" t="s">
        <v>118</v>
      </c>
      <c r="M4" s="19" t="s">
        <v>119</v>
      </c>
    </row>
    <row r="5" customFormat="false" ht="15" hidden="false" customHeight="false" outlineLevel="0" collapsed="false">
      <c r="A5" s="25" t="n">
        <v>46268</v>
      </c>
      <c r="B5" s="20" t="n">
        <v>1001</v>
      </c>
      <c r="C5" s="20" t="s">
        <v>65</v>
      </c>
      <c r="D5" s="7" t="str">
        <f aca="false">IF(C5="","",IFERROR(INDEX(Productos!$A$5:$A$104,MATCH(C5,Productos!$B$5:$B$104,0)),""))</f>
        <v>P001</v>
      </c>
      <c r="E5" s="7" t="str">
        <f aca="false">IF(C5="","",IFERROR(INDEX(Productos!$C$5:$C$104,MATCH(C5,Productos!$B$5:$B$104,0)),""))</f>
        <v>Alimentos</v>
      </c>
      <c r="F5" s="21" t="n">
        <v>3</v>
      </c>
      <c r="G5" s="11" t="n">
        <f aca="false">IF(C5="","",IFERROR(INDEX(Productos!$G$5:$G$104,MATCH(C5,Productos!$B$5:$B$104,0)),0))</f>
        <v>1.5</v>
      </c>
      <c r="H5" s="26" t="n">
        <v>0</v>
      </c>
      <c r="I5" s="11" t="n">
        <f aca="false">IF(C5="","",F5*G5*(1-H5))</f>
        <v>4.5</v>
      </c>
      <c r="J5" s="20" t="s">
        <v>120</v>
      </c>
      <c r="K5" s="20"/>
      <c r="L5" s="11" t="n">
        <f aca="false">IF(C5="","",F5*IFERROR(INDEX(Productos!$F$5:$F$104,MATCH(C5,Productos!$B$5:$B$104,0)),0))</f>
        <v>2.7</v>
      </c>
      <c r="M5" s="11" t="n">
        <f aca="false">IF(C5="","",I5-L5)</f>
        <v>1.8</v>
      </c>
    </row>
    <row r="6" customFormat="false" ht="15" hidden="false" customHeight="false" outlineLevel="0" collapsed="false">
      <c r="A6" s="25" t="n">
        <v>46268</v>
      </c>
      <c r="B6" s="20" t="n">
        <v>1001</v>
      </c>
      <c r="C6" s="20" t="s">
        <v>71</v>
      </c>
      <c r="D6" s="7" t="str">
        <f aca="false">IF(C6="","",IFERROR(INDEX(Productos!$A$5:$A$104,MATCH(C6,Productos!$B$5:$B$104,0)),""))</f>
        <v>P003</v>
      </c>
      <c r="E6" s="7" t="str">
        <f aca="false">IF(C6="","",IFERROR(INDEX(Productos!$C$5:$C$104,MATCH(C6,Productos!$B$5:$B$104,0)),""))</f>
        <v>Lácteos</v>
      </c>
      <c r="F6" s="21" t="n">
        <v>6</v>
      </c>
      <c r="G6" s="11" t="n">
        <f aca="false">IF(C6="","",IFERROR(INDEX(Productos!$G$5:$G$104,MATCH(C6,Productos!$B$5:$B$104,0)),0))</f>
        <v>1.05</v>
      </c>
      <c r="H6" s="26" t="n">
        <v>0</v>
      </c>
      <c r="I6" s="11" t="n">
        <f aca="false">IF(C6="","",F6*G6*(1-H6))</f>
        <v>6.3</v>
      </c>
      <c r="J6" s="20" t="s">
        <v>120</v>
      </c>
      <c r="K6" s="20"/>
      <c r="L6" s="11" t="n">
        <f aca="false">IF(C6="","",F6*IFERROR(INDEX(Productos!$F$5:$F$104,MATCH(C6,Productos!$B$5:$B$104,0)),0))</f>
        <v>3.9</v>
      </c>
      <c r="M6" s="11" t="n">
        <f aca="false">IF(C6="","",I6-L6)</f>
        <v>2.4</v>
      </c>
    </row>
    <row r="7" customFormat="false" ht="15" hidden="false" customHeight="false" outlineLevel="0" collapsed="false">
      <c r="A7" s="25" t="n">
        <v>46270</v>
      </c>
      <c r="B7" s="20" t="n">
        <v>1002</v>
      </c>
      <c r="C7" s="20" t="s">
        <v>77</v>
      </c>
      <c r="D7" s="7" t="str">
        <f aca="false">IF(C7="","",IFERROR(INDEX(Productos!$A$5:$A$104,MATCH(C7,Productos!$B$5:$B$104,0)),""))</f>
        <v>P005</v>
      </c>
      <c r="E7" s="7" t="str">
        <f aca="false">IF(C7="","",IFERROR(INDEX(Productos!$C$5:$C$104,MATCH(C7,Productos!$B$5:$B$104,0)),""))</f>
        <v>Bebidas</v>
      </c>
      <c r="F7" s="21" t="n">
        <v>4</v>
      </c>
      <c r="G7" s="11" t="n">
        <f aca="false">IF(C7="","",IFERROR(INDEX(Productos!$G$5:$G$104,MATCH(C7,Productos!$B$5:$B$104,0)),0))</f>
        <v>1.75</v>
      </c>
      <c r="H7" s="26" t="n">
        <v>0</v>
      </c>
      <c r="I7" s="11" t="n">
        <f aca="false">IF(C7="","",F7*G7*(1-H7))</f>
        <v>7</v>
      </c>
      <c r="J7" s="20" t="s">
        <v>121</v>
      </c>
      <c r="K7" s="20" t="s">
        <v>122</v>
      </c>
      <c r="L7" s="11" t="n">
        <f aca="false">IF(C7="","",F7*IFERROR(INDEX(Productos!$F$5:$F$104,MATCH(C7,Productos!$B$5:$B$104,0)),0))</f>
        <v>4</v>
      </c>
      <c r="M7" s="11" t="n">
        <f aca="false">IF(C7="","",I7-L7)</f>
        <v>3</v>
      </c>
    </row>
    <row r="8" customFormat="false" ht="15" hidden="false" customHeight="false" outlineLevel="0" collapsed="false">
      <c r="A8" s="25" t="n">
        <v>46273</v>
      </c>
      <c r="B8" s="20" t="n">
        <v>1003</v>
      </c>
      <c r="C8" s="20" t="s">
        <v>81</v>
      </c>
      <c r="D8" s="7" t="str">
        <f aca="false">IF(C8="","",IFERROR(INDEX(Productos!$A$5:$A$104,MATCH(C8,Productos!$B$5:$B$104,0)),""))</f>
        <v>P006</v>
      </c>
      <c r="E8" s="7" t="str">
        <f aca="false">IF(C8="","",IFERROR(INDEX(Productos!$C$5:$C$104,MATCH(C8,Productos!$B$5:$B$104,0)),""))</f>
        <v>Bebidas</v>
      </c>
      <c r="F8" s="21" t="n">
        <v>12</v>
      </c>
      <c r="G8" s="11" t="n">
        <f aca="false">IF(C8="","",IFERROR(INDEX(Productos!$G$5:$G$104,MATCH(C8,Productos!$B$5:$B$104,0)),0))</f>
        <v>0.65</v>
      </c>
      <c r="H8" s="26" t="n">
        <v>0.05</v>
      </c>
      <c r="I8" s="11" t="n">
        <f aca="false">IF(C8="","",F8*G8*(1-H8))</f>
        <v>7.41</v>
      </c>
      <c r="J8" s="20" t="s">
        <v>121</v>
      </c>
      <c r="K8" s="20"/>
      <c r="L8" s="11" t="n">
        <f aca="false">IF(C8="","",F8*IFERROR(INDEX(Productos!$F$5:$F$104,MATCH(C8,Productos!$B$5:$B$104,0)),0))</f>
        <v>3.6</v>
      </c>
      <c r="M8" s="11" t="n">
        <f aca="false">IF(C8="","",I8-L8)</f>
        <v>3.81</v>
      </c>
    </row>
    <row r="9" customFormat="false" ht="15" hidden="false" customHeight="false" outlineLevel="0" collapsed="false">
      <c r="A9" s="25" t="n">
        <v>46277</v>
      </c>
      <c r="B9" s="20" t="n">
        <v>1004</v>
      </c>
      <c r="C9" s="20" t="s">
        <v>83</v>
      </c>
      <c r="D9" s="7" t="str">
        <f aca="false">IF(C9="","",IFERROR(INDEX(Productos!$A$5:$A$104,MATCH(C9,Productos!$B$5:$B$104,0)),""))</f>
        <v>P007</v>
      </c>
      <c r="E9" s="7" t="str">
        <f aca="false">IF(C9="","",IFERROR(INDEX(Productos!$C$5:$C$104,MATCH(C9,Productos!$B$5:$B$104,0)),""))</f>
        <v>Limpieza</v>
      </c>
      <c r="F9" s="21" t="n">
        <v>2</v>
      </c>
      <c r="G9" s="11" t="n">
        <f aca="false">IF(C9="","",IFERROR(INDEX(Productos!$G$5:$G$104,MATCH(C9,Productos!$B$5:$B$104,0)),0))</f>
        <v>8.5</v>
      </c>
      <c r="H9" s="26" t="n">
        <v>0</v>
      </c>
      <c r="I9" s="11" t="n">
        <f aca="false">IF(C9="","",F9*G9*(1-H9))</f>
        <v>17</v>
      </c>
      <c r="J9" s="20" t="s">
        <v>121</v>
      </c>
      <c r="K9" s="20" t="s">
        <v>123</v>
      </c>
      <c r="L9" s="11" t="n">
        <f aca="false">IF(C9="","",F9*IFERROR(INDEX(Productos!$F$5:$F$104,MATCH(C9,Productos!$B$5:$B$104,0)),0))</f>
        <v>10.4</v>
      </c>
      <c r="M9" s="11" t="n">
        <f aca="false">IF(C9="","",I9-L9)</f>
        <v>6.6</v>
      </c>
    </row>
    <row r="10" customFormat="false" ht="15" hidden="false" customHeight="false" outlineLevel="0" collapsed="false">
      <c r="A10" s="25" t="n">
        <v>46281</v>
      </c>
      <c r="B10" s="20" t="n">
        <v>1005</v>
      </c>
      <c r="C10" s="20" t="s">
        <v>89</v>
      </c>
      <c r="D10" s="7" t="str">
        <f aca="false">IF(C10="","",IFERROR(INDEX(Productos!$A$5:$A$104,MATCH(C10,Productos!$B$5:$B$104,0)),""))</f>
        <v>P009</v>
      </c>
      <c r="E10" s="7" t="str">
        <f aca="false">IF(C10="","",IFERROR(INDEX(Productos!$C$5:$C$104,MATCH(C10,Productos!$B$5:$B$104,0)),""))</f>
        <v>Snacks</v>
      </c>
      <c r="F10" s="21" t="n">
        <v>6</v>
      </c>
      <c r="G10" s="11" t="n">
        <f aca="false">IF(C10="","",IFERROR(INDEX(Productos!$G$5:$G$104,MATCH(C10,Productos!$B$5:$B$104,0)),0))</f>
        <v>2.2</v>
      </c>
      <c r="H10" s="26" t="n">
        <v>0</v>
      </c>
      <c r="I10" s="11" t="n">
        <f aca="false">IF(C10="","",F10*G10*(1-H10))</f>
        <v>13.2</v>
      </c>
      <c r="J10" s="20" t="s">
        <v>120</v>
      </c>
      <c r="K10" s="20"/>
      <c r="L10" s="11" t="n">
        <f aca="false">IF(C10="","",F10*IFERROR(INDEX(Productos!$F$5:$F$104,MATCH(C10,Productos!$B$5:$B$104,0)),0))</f>
        <v>7.2</v>
      </c>
      <c r="M10" s="11" t="n">
        <f aca="false">IF(C10="","",I10-L10)</f>
        <v>6</v>
      </c>
    </row>
    <row r="11" customFormat="false" ht="15" hidden="false" customHeight="false" outlineLevel="0" collapsed="false">
      <c r="A11" s="25" t="n">
        <v>46284</v>
      </c>
      <c r="B11" s="20" t="n">
        <v>1006</v>
      </c>
      <c r="C11" s="20" t="s">
        <v>69</v>
      </c>
      <c r="D11" s="7" t="str">
        <f aca="false">IF(C11="","",IFERROR(INDEX(Productos!$A$5:$A$104,MATCH(C11,Productos!$B$5:$B$104,0)),""))</f>
        <v>P002</v>
      </c>
      <c r="E11" s="7" t="str">
        <f aca="false">IF(C11="","",IFERROR(INDEX(Productos!$C$5:$C$104,MATCH(C11,Productos!$B$5:$B$104,0)),""))</f>
        <v>Alimentos</v>
      </c>
      <c r="F11" s="21" t="n">
        <v>5</v>
      </c>
      <c r="G11" s="11" t="n">
        <f aca="false">IF(C11="","",IFERROR(INDEX(Productos!$G$5:$G$104,MATCH(C11,Productos!$B$5:$B$104,0)),0))</f>
        <v>6.9</v>
      </c>
      <c r="H11" s="26" t="n">
        <v>0</v>
      </c>
      <c r="I11" s="11" t="n">
        <f aca="false">IF(C11="","",F11*G11*(1-H11))</f>
        <v>34.5</v>
      </c>
      <c r="J11" s="20" t="s">
        <v>120</v>
      </c>
      <c r="K11" s="20"/>
      <c r="L11" s="11" t="n">
        <f aca="false">IF(C11="","",F11*IFERROR(INDEX(Productos!$F$5:$F$104,MATCH(C11,Productos!$B$5:$B$104,0)),0))</f>
        <v>22.5</v>
      </c>
      <c r="M11" s="11" t="n">
        <f aca="false">IF(C11="","",I11-L11)</f>
        <v>12</v>
      </c>
    </row>
    <row r="12" customFormat="false" ht="15" hidden="false" customHeight="false" outlineLevel="0" collapsed="false">
      <c r="A12" s="25" t="n">
        <v>46289</v>
      </c>
      <c r="B12" s="20" t="n">
        <v>1007</v>
      </c>
      <c r="C12" s="20" t="s">
        <v>93</v>
      </c>
      <c r="D12" s="7" t="str">
        <f aca="false">IF(C12="","",IFERROR(INDEX(Productos!$A$5:$A$104,MATCH(C12,Productos!$B$5:$B$104,0)),""))</f>
        <v>P010</v>
      </c>
      <c r="E12" s="7" t="str">
        <f aca="false">IF(C12="","",IFERROR(INDEX(Productos!$C$5:$C$104,MATCH(C12,Productos!$B$5:$B$104,0)),""))</f>
        <v>Snacks</v>
      </c>
      <c r="F12" s="21" t="n">
        <v>10</v>
      </c>
      <c r="G12" s="11" t="n">
        <f aca="false">IF(C12="","",IFERROR(INDEX(Productos!$G$5:$G$104,MATCH(C12,Productos!$B$5:$B$104,0)),0))</f>
        <v>1.8</v>
      </c>
      <c r="H12" s="26" t="n">
        <v>0</v>
      </c>
      <c r="I12" s="11" t="n">
        <f aca="false">IF(C12="","",F12*G12*(1-H12))</f>
        <v>18</v>
      </c>
      <c r="J12" s="20" t="s">
        <v>120</v>
      </c>
      <c r="K12" s="20"/>
      <c r="L12" s="11" t="n">
        <f aca="false">IF(C12="","",F12*IFERROR(INDEX(Productos!$F$5:$F$104,MATCH(C12,Productos!$B$5:$B$104,0)),0))</f>
        <v>9.5</v>
      </c>
      <c r="M12" s="11" t="n">
        <f aca="false">IF(C12="","",I12-L12)</f>
        <v>8.5</v>
      </c>
    </row>
    <row r="13" customFormat="false" ht="15" hidden="false" customHeight="false" outlineLevel="0" collapsed="false">
      <c r="A13" s="25" t="n">
        <v>46292</v>
      </c>
      <c r="B13" s="20" t="n">
        <v>1008</v>
      </c>
      <c r="C13" s="20" t="s">
        <v>95</v>
      </c>
      <c r="D13" s="7" t="str">
        <f aca="false">IF(C13="","",IFERROR(INDEX(Productos!$A$5:$A$104,MATCH(C13,Productos!$B$5:$B$104,0)),""))</f>
        <v>P011</v>
      </c>
      <c r="E13" s="7" t="str">
        <f aca="false">IF(C13="","",IFERROR(INDEX(Productos!$C$5:$C$104,MATCH(C13,Productos!$B$5:$B$104,0)),""))</f>
        <v>Papelería</v>
      </c>
      <c r="F13" s="21" t="n">
        <v>4</v>
      </c>
      <c r="G13" s="11" t="n">
        <f aca="false">IF(C13="","",IFERROR(INDEX(Productos!$G$5:$G$104,MATCH(C13,Productos!$B$5:$B$104,0)),0))</f>
        <v>2.9</v>
      </c>
      <c r="H13" s="26" t="n">
        <v>0</v>
      </c>
      <c r="I13" s="11" t="n">
        <f aca="false">IF(C13="","",F13*G13*(1-H13))</f>
        <v>11.6</v>
      </c>
      <c r="J13" s="20" t="s">
        <v>121</v>
      </c>
      <c r="K13" s="20" t="s">
        <v>124</v>
      </c>
      <c r="L13" s="11" t="n">
        <f aca="false">IF(C13="","",F13*IFERROR(INDEX(Productos!$F$5:$F$104,MATCH(C13,Productos!$B$5:$B$104,0)),0))</f>
        <v>5.6</v>
      </c>
      <c r="M13" s="11" t="n">
        <f aca="false">IF(C13="","",I13-L13)</f>
        <v>6</v>
      </c>
    </row>
    <row r="14" customFormat="false" ht="15" hidden="false" customHeight="false" outlineLevel="0" collapsed="false">
      <c r="A14" s="25" t="n">
        <v>46297</v>
      </c>
      <c r="B14" s="20" t="n">
        <v>1009</v>
      </c>
      <c r="C14" s="20" t="s">
        <v>75</v>
      </c>
      <c r="D14" s="7" t="str">
        <f aca="false">IF(C14="","",IFERROR(INDEX(Productos!$A$5:$A$104,MATCH(C14,Productos!$B$5:$B$104,0)),""))</f>
        <v>P004</v>
      </c>
      <c r="E14" s="7" t="str">
        <f aca="false">IF(C14="","",IFERROR(INDEX(Productos!$C$5:$C$104,MATCH(C14,Productos!$B$5:$B$104,0)),""))</f>
        <v>Lácteos</v>
      </c>
      <c r="F14" s="21" t="n">
        <v>8</v>
      </c>
      <c r="G14" s="11" t="n">
        <f aca="false">IF(C14="","",IFERROR(INDEX(Productos!$G$5:$G$104,MATCH(C14,Productos!$B$5:$B$104,0)),0))</f>
        <v>1.85</v>
      </c>
      <c r="H14" s="26" t="n">
        <v>0</v>
      </c>
      <c r="I14" s="11" t="n">
        <f aca="false">IF(C14="","",F14*G14*(1-H14))</f>
        <v>14.8</v>
      </c>
      <c r="J14" s="20" t="s">
        <v>120</v>
      </c>
      <c r="K14" s="20"/>
      <c r="L14" s="11" t="n">
        <f aca="false">IF(C14="","",F14*IFERROR(INDEX(Productos!$F$5:$F$104,MATCH(C14,Productos!$B$5:$B$104,0)),0))</f>
        <v>8.8</v>
      </c>
      <c r="M14" s="11" t="n">
        <f aca="false">IF(C14="","",I14-L14)</f>
        <v>6</v>
      </c>
    </row>
    <row r="15" customFormat="false" ht="15" hidden="false" customHeight="false" outlineLevel="0" collapsed="false">
      <c r="A15" s="25" t="n">
        <v>46299</v>
      </c>
      <c r="B15" s="20" t="n">
        <v>1010</v>
      </c>
      <c r="C15" s="20" t="s">
        <v>87</v>
      </c>
      <c r="D15" s="7" t="str">
        <f aca="false">IF(C15="","",IFERROR(INDEX(Productos!$A$5:$A$104,MATCH(C15,Productos!$B$5:$B$104,0)),""))</f>
        <v>P008</v>
      </c>
      <c r="E15" s="7" t="str">
        <f aca="false">IF(C15="","",IFERROR(INDEX(Productos!$C$5:$C$104,MATCH(C15,Productos!$B$5:$B$104,0)),""))</f>
        <v>Limpieza</v>
      </c>
      <c r="F15" s="21" t="n">
        <v>5</v>
      </c>
      <c r="G15" s="11" t="n">
        <f aca="false">IF(C15="","",IFERROR(INDEX(Productos!$G$5:$G$104,MATCH(C15,Productos!$B$5:$B$104,0)),0))</f>
        <v>5.6</v>
      </c>
      <c r="H15" s="26" t="n">
        <v>0.1</v>
      </c>
      <c r="I15" s="11" t="n">
        <f aca="false">IF(C15="","",F15*G15*(1-H15))</f>
        <v>25.2</v>
      </c>
      <c r="J15" s="20" t="s">
        <v>121</v>
      </c>
      <c r="K15" s="20" t="s">
        <v>123</v>
      </c>
      <c r="L15" s="11" t="n">
        <f aca="false">IF(C15="","",F15*IFERROR(INDEX(Productos!$F$5:$F$104,MATCH(C15,Productos!$B$5:$B$104,0)),0))</f>
        <v>17</v>
      </c>
      <c r="M15" s="11" t="n">
        <f aca="false">IF(C15="","",I15-L15)</f>
        <v>8.2</v>
      </c>
    </row>
    <row r="16" customFormat="false" ht="15" hidden="false" customHeight="false" outlineLevel="0" collapsed="false">
      <c r="A16" s="25" t="n">
        <v>46302</v>
      </c>
      <c r="B16" s="20" t="n">
        <v>1011</v>
      </c>
      <c r="C16" s="20" t="s">
        <v>99</v>
      </c>
      <c r="D16" s="7" t="str">
        <f aca="false">IF(C16="","",IFERROR(INDEX(Productos!$A$5:$A$104,MATCH(C16,Productos!$B$5:$B$104,0)),""))</f>
        <v>P012</v>
      </c>
      <c r="E16" s="7" t="str">
        <f aca="false">IF(C16="","",IFERROR(INDEX(Productos!$C$5:$C$104,MATCH(C16,Productos!$B$5:$B$104,0)),""))</f>
        <v>Papelería</v>
      </c>
      <c r="F16" s="21" t="n">
        <v>9</v>
      </c>
      <c r="G16" s="11" t="n">
        <f aca="false">IF(C16="","",IFERROR(INDEX(Productos!$G$5:$G$104,MATCH(C16,Productos!$B$5:$B$104,0)),0))</f>
        <v>4.2</v>
      </c>
      <c r="H16" s="26" t="n">
        <v>0</v>
      </c>
      <c r="I16" s="11" t="n">
        <f aca="false">IF(C16="","",F16*G16*(1-H16))</f>
        <v>37.8</v>
      </c>
      <c r="J16" s="20" t="s">
        <v>121</v>
      </c>
      <c r="K16" s="20" t="s">
        <v>124</v>
      </c>
      <c r="L16" s="11" t="n">
        <f aca="false">IF(C16="","",F16*IFERROR(INDEX(Productos!$F$5:$F$104,MATCH(C16,Productos!$B$5:$B$104,0)),0))</f>
        <v>18.9</v>
      </c>
      <c r="M16" s="11" t="n">
        <f aca="false">IF(C16="","",I16-L16)</f>
        <v>18.9</v>
      </c>
    </row>
    <row r="17" customFormat="false" ht="15" hidden="false" customHeight="false" outlineLevel="0" collapsed="false">
      <c r="A17" s="25" t="n">
        <v>46305</v>
      </c>
      <c r="B17" s="20" t="n">
        <v>1012</v>
      </c>
      <c r="C17" s="20" t="s">
        <v>77</v>
      </c>
      <c r="D17" s="7" t="str">
        <f aca="false">IF(C17="","",IFERROR(INDEX(Productos!$A$5:$A$104,MATCH(C17,Productos!$B$5:$B$104,0)),""))</f>
        <v>P005</v>
      </c>
      <c r="E17" s="7" t="str">
        <f aca="false">IF(C17="","",IFERROR(INDEX(Productos!$C$5:$C$104,MATCH(C17,Productos!$B$5:$B$104,0)),""))</f>
        <v>Bebidas</v>
      </c>
      <c r="F17" s="21" t="n">
        <v>12</v>
      </c>
      <c r="G17" s="11" t="n">
        <f aca="false">IF(C17="","",IFERROR(INDEX(Productos!$G$5:$G$104,MATCH(C17,Productos!$B$5:$B$104,0)),0))</f>
        <v>1.75</v>
      </c>
      <c r="H17" s="26" t="n">
        <v>0</v>
      </c>
      <c r="I17" s="11" t="n">
        <f aca="false">IF(C17="","",F17*G17*(1-H17))</f>
        <v>21</v>
      </c>
      <c r="J17" s="20" t="s">
        <v>120</v>
      </c>
      <c r="K17" s="20"/>
      <c r="L17" s="11" t="n">
        <f aca="false">IF(C17="","",F17*IFERROR(INDEX(Productos!$F$5:$F$104,MATCH(C17,Productos!$B$5:$B$104,0)),0))</f>
        <v>12</v>
      </c>
      <c r="M17" s="11" t="n">
        <f aca="false">IF(C17="","",I17-L17)</f>
        <v>9</v>
      </c>
    </row>
    <row r="18" customFormat="false" ht="15" hidden="false" customHeight="false" outlineLevel="0" collapsed="false">
      <c r="A18" s="25" t="n">
        <v>46308</v>
      </c>
      <c r="B18" s="20" t="n">
        <v>1013</v>
      </c>
      <c r="C18" s="20" t="s">
        <v>71</v>
      </c>
      <c r="D18" s="7" t="str">
        <f aca="false">IF(C18="","",IFERROR(INDEX(Productos!$A$5:$A$104,MATCH(C18,Productos!$B$5:$B$104,0)),""))</f>
        <v>P003</v>
      </c>
      <c r="E18" s="7" t="str">
        <f aca="false">IF(C18="","",IFERROR(INDEX(Productos!$C$5:$C$104,MATCH(C18,Productos!$B$5:$B$104,0)),""))</f>
        <v>Lácteos</v>
      </c>
      <c r="F18" s="21" t="n">
        <v>25</v>
      </c>
      <c r="G18" s="11" t="n">
        <f aca="false">IF(C18="","",IFERROR(INDEX(Productos!$G$5:$G$104,MATCH(C18,Productos!$B$5:$B$104,0)),0))</f>
        <v>1.05</v>
      </c>
      <c r="H18" s="26" t="n">
        <v>0</v>
      </c>
      <c r="I18" s="11" t="n">
        <f aca="false">IF(C18="","",F18*G18*(1-H18))</f>
        <v>26.25</v>
      </c>
      <c r="J18" s="20" t="s">
        <v>121</v>
      </c>
      <c r="K18" s="20"/>
      <c r="L18" s="11" t="n">
        <f aca="false">IF(C18="","",F18*IFERROR(INDEX(Productos!$F$5:$F$104,MATCH(C18,Productos!$B$5:$B$104,0)),0))</f>
        <v>16.25</v>
      </c>
      <c r="M18" s="11" t="n">
        <f aca="false">IF(C18="","",I18-L18)</f>
        <v>10</v>
      </c>
    </row>
    <row r="19" customFormat="false" ht="15" hidden="false" customHeight="false" outlineLevel="0" collapsed="false">
      <c r="A19" s="25" t="n">
        <v>46312</v>
      </c>
      <c r="B19" s="20" t="n">
        <v>1014</v>
      </c>
      <c r="C19" s="20" t="s">
        <v>65</v>
      </c>
      <c r="D19" s="7" t="str">
        <f aca="false">IF(C19="","",IFERROR(INDEX(Productos!$A$5:$A$104,MATCH(C19,Productos!$B$5:$B$104,0)),""))</f>
        <v>P001</v>
      </c>
      <c r="E19" s="7" t="str">
        <f aca="false">IF(C19="","",IFERROR(INDEX(Productos!$C$5:$C$104,MATCH(C19,Productos!$B$5:$B$104,0)),""))</f>
        <v>Alimentos</v>
      </c>
      <c r="F19" s="21" t="n">
        <v>10</v>
      </c>
      <c r="G19" s="11" t="n">
        <f aca="false">IF(C19="","",IFERROR(INDEX(Productos!$G$5:$G$104,MATCH(C19,Productos!$B$5:$B$104,0)),0))</f>
        <v>1.5</v>
      </c>
      <c r="H19" s="26" t="n">
        <v>0</v>
      </c>
      <c r="I19" s="11" t="n">
        <f aca="false">IF(C19="","",F19*G19*(1-H19))</f>
        <v>15</v>
      </c>
      <c r="J19" s="20" t="s">
        <v>120</v>
      </c>
      <c r="K19" s="20"/>
      <c r="L19" s="11" t="n">
        <f aca="false">IF(C19="","",F19*IFERROR(INDEX(Productos!$F$5:$F$104,MATCH(C19,Productos!$B$5:$B$104,0)),0))</f>
        <v>9</v>
      </c>
      <c r="M19" s="11" t="n">
        <f aca="false">IF(C19="","",I19-L19)</f>
        <v>6</v>
      </c>
    </row>
    <row r="20" customFormat="false" ht="15" hidden="false" customHeight="false" outlineLevel="0" collapsed="false">
      <c r="A20" s="25" t="n">
        <v>46315</v>
      </c>
      <c r="B20" s="20" t="n">
        <v>1015</v>
      </c>
      <c r="C20" s="20" t="s">
        <v>83</v>
      </c>
      <c r="D20" s="7" t="str">
        <f aca="false">IF(C20="","",IFERROR(INDEX(Productos!$A$5:$A$104,MATCH(C20,Productos!$B$5:$B$104,0)),""))</f>
        <v>P007</v>
      </c>
      <c r="E20" s="7" t="str">
        <f aca="false">IF(C20="","",IFERROR(INDEX(Productos!$C$5:$C$104,MATCH(C20,Productos!$B$5:$B$104,0)),""))</f>
        <v>Limpieza</v>
      </c>
      <c r="F20" s="21" t="n">
        <v>3</v>
      </c>
      <c r="G20" s="11" t="n">
        <f aca="false">IF(C20="","",IFERROR(INDEX(Productos!$G$5:$G$104,MATCH(C20,Productos!$B$5:$B$104,0)),0))</f>
        <v>8.5</v>
      </c>
      <c r="H20" s="26" t="n">
        <v>0</v>
      </c>
      <c r="I20" s="11" t="n">
        <f aca="false">IF(C20="","",F20*G20*(1-H20))</f>
        <v>25.5</v>
      </c>
      <c r="J20" s="20" t="s">
        <v>120</v>
      </c>
      <c r="K20" s="20"/>
      <c r="L20" s="11" t="n">
        <f aca="false">IF(C20="","",F20*IFERROR(INDEX(Productos!$F$5:$F$104,MATCH(C20,Productos!$B$5:$B$104,0)),0))</f>
        <v>15.6</v>
      </c>
      <c r="M20" s="11" t="n">
        <f aca="false">IF(C20="","",I20-L20)</f>
        <v>9.9</v>
      </c>
    </row>
    <row r="21" customFormat="false" ht="15" hidden="false" customHeight="false" outlineLevel="0" collapsed="false">
      <c r="A21" s="25"/>
      <c r="B21" s="20"/>
      <c r="C21" s="20"/>
      <c r="D21" s="7" t="str">
        <f aca="false">IF(C21="","",IFERROR(INDEX(Productos!$A$5:$A$104,MATCH(C21,Productos!$B$5:$B$104,0)),""))</f>
        <v/>
      </c>
      <c r="E21" s="7" t="str">
        <f aca="false">IF(C21="","",IFERROR(INDEX(Productos!$C$5:$C$104,MATCH(C21,Productos!$B$5:$B$104,0)),""))</f>
        <v/>
      </c>
      <c r="F21" s="21"/>
      <c r="G21" s="11" t="str">
        <f aca="false">IF(C21="","",IFERROR(INDEX(Productos!$G$5:$G$104,MATCH(C21,Productos!$B$5:$B$104,0)),0))</f>
        <v/>
      </c>
      <c r="H21" s="26"/>
      <c r="I21" s="11" t="str">
        <f aca="false">IF(C21="","",F21*G21*(1-H21))</f>
        <v/>
      </c>
      <c r="J21" s="20"/>
      <c r="K21" s="20"/>
      <c r="L21" s="11" t="str">
        <f aca="false">IF(C21="","",F21*IFERROR(INDEX(Productos!$F$5:$F$104,MATCH(C21,Productos!$B$5:$B$104,0)),0))</f>
        <v/>
      </c>
      <c r="M21" s="11" t="str">
        <f aca="false">IF(C21="","",I21-L21)</f>
        <v/>
      </c>
    </row>
    <row r="22" customFormat="false" ht="15" hidden="false" customHeight="false" outlineLevel="0" collapsed="false">
      <c r="A22" s="25"/>
      <c r="B22" s="20"/>
      <c r="C22" s="20"/>
      <c r="D22" s="7" t="str">
        <f aca="false">IF(C22="","",IFERROR(INDEX(Productos!$A$5:$A$104,MATCH(C22,Productos!$B$5:$B$104,0)),""))</f>
        <v/>
      </c>
      <c r="E22" s="7" t="str">
        <f aca="false">IF(C22="","",IFERROR(INDEX(Productos!$C$5:$C$104,MATCH(C22,Productos!$B$5:$B$104,0)),""))</f>
        <v/>
      </c>
      <c r="F22" s="21"/>
      <c r="G22" s="11" t="str">
        <f aca="false">IF(C22="","",IFERROR(INDEX(Productos!$G$5:$G$104,MATCH(C22,Productos!$B$5:$B$104,0)),0))</f>
        <v/>
      </c>
      <c r="H22" s="26"/>
      <c r="I22" s="11" t="str">
        <f aca="false">IF(C22="","",F22*G22*(1-H22))</f>
        <v/>
      </c>
      <c r="J22" s="20"/>
      <c r="K22" s="20"/>
      <c r="L22" s="11" t="str">
        <f aca="false">IF(C22="","",F22*IFERROR(INDEX(Productos!$F$5:$F$104,MATCH(C22,Productos!$B$5:$B$104,0)),0))</f>
        <v/>
      </c>
      <c r="M22" s="11" t="str">
        <f aca="false">IF(C22="","",I22-L22)</f>
        <v/>
      </c>
    </row>
    <row r="23" customFormat="false" ht="15" hidden="false" customHeight="false" outlineLevel="0" collapsed="false">
      <c r="A23" s="25"/>
      <c r="B23" s="20"/>
      <c r="C23" s="20"/>
      <c r="D23" s="7" t="str">
        <f aca="false">IF(C23="","",IFERROR(INDEX(Productos!$A$5:$A$104,MATCH(C23,Productos!$B$5:$B$104,0)),""))</f>
        <v/>
      </c>
      <c r="E23" s="7" t="str">
        <f aca="false">IF(C23="","",IFERROR(INDEX(Productos!$C$5:$C$104,MATCH(C23,Productos!$B$5:$B$104,0)),""))</f>
        <v/>
      </c>
      <c r="F23" s="21"/>
      <c r="G23" s="11" t="str">
        <f aca="false">IF(C23="","",IFERROR(INDEX(Productos!$G$5:$G$104,MATCH(C23,Productos!$B$5:$B$104,0)),0))</f>
        <v/>
      </c>
      <c r="H23" s="26"/>
      <c r="I23" s="11" t="str">
        <f aca="false">IF(C23="","",F23*G23*(1-H23))</f>
        <v/>
      </c>
      <c r="J23" s="20"/>
      <c r="K23" s="20"/>
      <c r="L23" s="11" t="str">
        <f aca="false">IF(C23="","",F23*IFERROR(INDEX(Productos!$F$5:$F$104,MATCH(C23,Productos!$B$5:$B$104,0)),0))</f>
        <v/>
      </c>
      <c r="M23" s="11" t="str">
        <f aca="false">IF(C23="","",I23-L23)</f>
        <v/>
      </c>
    </row>
    <row r="24" customFormat="false" ht="15" hidden="false" customHeight="false" outlineLevel="0" collapsed="false">
      <c r="A24" s="25"/>
      <c r="B24" s="20"/>
      <c r="C24" s="20"/>
      <c r="D24" s="7" t="str">
        <f aca="false">IF(C24="","",IFERROR(INDEX(Productos!$A$5:$A$104,MATCH(C24,Productos!$B$5:$B$104,0)),""))</f>
        <v/>
      </c>
      <c r="E24" s="7" t="str">
        <f aca="false">IF(C24="","",IFERROR(INDEX(Productos!$C$5:$C$104,MATCH(C24,Productos!$B$5:$B$104,0)),""))</f>
        <v/>
      </c>
      <c r="F24" s="21"/>
      <c r="G24" s="11" t="str">
        <f aca="false">IF(C24="","",IFERROR(INDEX(Productos!$G$5:$G$104,MATCH(C24,Productos!$B$5:$B$104,0)),0))</f>
        <v/>
      </c>
      <c r="H24" s="26"/>
      <c r="I24" s="11" t="str">
        <f aca="false">IF(C24="","",F24*G24*(1-H24))</f>
        <v/>
      </c>
      <c r="J24" s="20"/>
      <c r="K24" s="20"/>
      <c r="L24" s="11" t="str">
        <f aca="false">IF(C24="","",F24*IFERROR(INDEX(Productos!$F$5:$F$104,MATCH(C24,Productos!$B$5:$B$104,0)),0))</f>
        <v/>
      </c>
      <c r="M24" s="11" t="str">
        <f aca="false">IF(C24="","",I24-L24)</f>
        <v/>
      </c>
    </row>
    <row r="25" customFormat="false" ht="15" hidden="false" customHeight="false" outlineLevel="0" collapsed="false">
      <c r="A25" s="25"/>
      <c r="B25" s="20"/>
      <c r="C25" s="20"/>
      <c r="D25" s="7" t="str">
        <f aca="false">IF(C25="","",IFERROR(INDEX(Productos!$A$5:$A$104,MATCH(C25,Productos!$B$5:$B$104,0)),""))</f>
        <v/>
      </c>
      <c r="E25" s="7" t="str">
        <f aca="false">IF(C25="","",IFERROR(INDEX(Productos!$C$5:$C$104,MATCH(C25,Productos!$B$5:$B$104,0)),""))</f>
        <v/>
      </c>
      <c r="F25" s="21"/>
      <c r="G25" s="11" t="str">
        <f aca="false">IF(C25="","",IFERROR(INDEX(Productos!$G$5:$G$104,MATCH(C25,Productos!$B$5:$B$104,0)),0))</f>
        <v/>
      </c>
      <c r="H25" s="26"/>
      <c r="I25" s="11" t="str">
        <f aca="false">IF(C25="","",F25*G25*(1-H25))</f>
        <v/>
      </c>
      <c r="J25" s="20"/>
      <c r="K25" s="20"/>
      <c r="L25" s="11" t="str">
        <f aca="false">IF(C25="","",F25*IFERROR(INDEX(Productos!$F$5:$F$104,MATCH(C25,Productos!$B$5:$B$104,0)),0))</f>
        <v/>
      </c>
      <c r="M25" s="11" t="str">
        <f aca="false">IF(C25="","",I25-L25)</f>
        <v/>
      </c>
    </row>
    <row r="26" customFormat="false" ht="15" hidden="false" customHeight="false" outlineLevel="0" collapsed="false">
      <c r="A26" s="25"/>
      <c r="B26" s="20"/>
      <c r="C26" s="20"/>
      <c r="D26" s="7" t="str">
        <f aca="false">IF(C26="","",IFERROR(INDEX(Productos!$A$5:$A$104,MATCH(C26,Productos!$B$5:$B$104,0)),""))</f>
        <v/>
      </c>
      <c r="E26" s="7" t="str">
        <f aca="false">IF(C26="","",IFERROR(INDEX(Productos!$C$5:$C$104,MATCH(C26,Productos!$B$5:$B$104,0)),""))</f>
        <v/>
      </c>
      <c r="F26" s="21"/>
      <c r="G26" s="11" t="str">
        <f aca="false">IF(C26="","",IFERROR(INDEX(Productos!$G$5:$G$104,MATCH(C26,Productos!$B$5:$B$104,0)),0))</f>
        <v/>
      </c>
      <c r="H26" s="26"/>
      <c r="I26" s="11" t="str">
        <f aca="false">IF(C26="","",F26*G26*(1-H26))</f>
        <v/>
      </c>
      <c r="J26" s="20"/>
      <c r="K26" s="20"/>
      <c r="L26" s="11" t="str">
        <f aca="false">IF(C26="","",F26*IFERROR(INDEX(Productos!$F$5:$F$104,MATCH(C26,Productos!$B$5:$B$104,0)),0))</f>
        <v/>
      </c>
      <c r="M26" s="11" t="str">
        <f aca="false">IF(C26="","",I26-L26)</f>
        <v/>
      </c>
    </row>
    <row r="27" customFormat="false" ht="15" hidden="false" customHeight="false" outlineLevel="0" collapsed="false">
      <c r="A27" s="25"/>
      <c r="B27" s="20"/>
      <c r="C27" s="20"/>
      <c r="D27" s="7" t="str">
        <f aca="false">IF(C27="","",IFERROR(INDEX(Productos!$A$5:$A$104,MATCH(C27,Productos!$B$5:$B$104,0)),""))</f>
        <v/>
      </c>
      <c r="E27" s="7" t="str">
        <f aca="false">IF(C27="","",IFERROR(INDEX(Productos!$C$5:$C$104,MATCH(C27,Productos!$B$5:$B$104,0)),""))</f>
        <v/>
      </c>
      <c r="F27" s="21"/>
      <c r="G27" s="11" t="str">
        <f aca="false">IF(C27="","",IFERROR(INDEX(Productos!$G$5:$G$104,MATCH(C27,Productos!$B$5:$B$104,0)),0))</f>
        <v/>
      </c>
      <c r="H27" s="26"/>
      <c r="I27" s="11" t="str">
        <f aca="false">IF(C27="","",F27*G27*(1-H27))</f>
        <v/>
      </c>
      <c r="J27" s="20"/>
      <c r="K27" s="20"/>
      <c r="L27" s="11" t="str">
        <f aca="false">IF(C27="","",F27*IFERROR(INDEX(Productos!$F$5:$F$104,MATCH(C27,Productos!$B$5:$B$104,0)),0))</f>
        <v/>
      </c>
      <c r="M27" s="11" t="str">
        <f aca="false">IF(C27="","",I27-L27)</f>
        <v/>
      </c>
    </row>
    <row r="28" customFormat="false" ht="15" hidden="false" customHeight="false" outlineLevel="0" collapsed="false">
      <c r="A28" s="25"/>
      <c r="B28" s="20"/>
      <c r="C28" s="20"/>
      <c r="D28" s="7" t="str">
        <f aca="false">IF(C28="","",IFERROR(INDEX(Productos!$A$5:$A$104,MATCH(C28,Productos!$B$5:$B$104,0)),""))</f>
        <v/>
      </c>
      <c r="E28" s="7" t="str">
        <f aca="false">IF(C28="","",IFERROR(INDEX(Productos!$C$5:$C$104,MATCH(C28,Productos!$B$5:$B$104,0)),""))</f>
        <v/>
      </c>
      <c r="F28" s="21"/>
      <c r="G28" s="11" t="str">
        <f aca="false">IF(C28="","",IFERROR(INDEX(Productos!$G$5:$G$104,MATCH(C28,Productos!$B$5:$B$104,0)),0))</f>
        <v/>
      </c>
      <c r="H28" s="26"/>
      <c r="I28" s="11" t="str">
        <f aca="false">IF(C28="","",F28*G28*(1-H28))</f>
        <v/>
      </c>
      <c r="J28" s="20"/>
      <c r="K28" s="20"/>
      <c r="L28" s="11" t="str">
        <f aca="false">IF(C28="","",F28*IFERROR(INDEX(Productos!$F$5:$F$104,MATCH(C28,Productos!$B$5:$B$104,0)),0))</f>
        <v/>
      </c>
      <c r="M28" s="11" t="str">
        <f aca="false">IF(C28="","",I28-L28)</f>
        <v/>
      </c>
    </row>
    <row r="29" customFormat="false" ht="15" hidden="false" customHeight="false" outlineLevel="0" collapsed="false">
      <c r="A29" s="25"/>
      <c r="B29" s="20"/>
      <c r="C29" s="20"/>
      <c r="D29" s="7" t="str">
        <f aca="false">IF(C29="","",IFERROR(INDEX(Productos!$A$5:$A$104,MATCH(C29,Productos!$B$5:$B$104,0)),""))</f>
        <v/>
      </c>
      <c r="E29" s="7" t="str">
        <f aca="false">IF(C29="","",IFERROR(INDEX(Productos!$C$5:$C$104,MATCH(C29,Productos!$B$5:$B$104,0)),""))</f>
        <v/>
      </c>
      <c r="F29" s="21"/>
      <c r="G29" s="11" t="str">
        <f aca="false">IF(C29="","",IFERROR(INDEX(Productos!$G$5:$G$104,MATCH(C29,Productos!$B$5:$B$104,0)),0))</f>
        <v/>
      </c>
      <c r="H29" s="26"/>
      <c r="I29" s="11" t="str">
        <f aca="false">IF(C29="","",F29*G29*(1-H29))</f>
        <v/>
      </c>
      <c r="J29" s="20"/>
      <c r="K29" s="20"/>
      <c r="L29" s="11" t="str">
        <f aca="false">IF(C29="","",F29*IFERROR(INDEX(Productos!$F$5:$F$104,MATCH(C29,Productos!$B$5:$B$104,0)),0))</f>
        <v/>
      </c>
      <c r="M29" s="11" t="str">
        <f aca="false">IF(C29="","",I29-L29)</f>
        <v/>
      </c>
    </row>
    <row r="30" customFormat="false" ht="15" hidden="false" customHeight="false" outlineLevel="0" collapsed="false">
      <c r="A30" s="25"/>
      <c r="B30" s="20"/>
      <c r="C30" s="20"/>
      <c r="D30" s="7" t="str">
        <f aca="false">IF(C30="","",IFERROR(INDEX(Productos!$A$5:$A$104,MATCH(C30,Productos!$B$5:$B$104,0)),""))</f>
        <v/>
      </c>
      <c r="E30" s="7" t="str">
        <f aca="false">IF(C30="","",IFERROR(INDEX(Productos!$C$5:$C$104,MATCH(C30,Productos!$B$5:$B$104,0)),""))</f>
        <v/>
      </c>
      <c r="F30" s="21"/>
      <c r="G30" s="11" t="str">
        <f aca="false">IF(C30="","",IFERROR(INDEX(Productos!$G$5:$G$104,MATCH(C30,Productos!$B$5:$B$104,0)),0))</f>
        <v/>
      </c>
      <c r="H30" s="26"/>
      <c r="I30" s="11" t="str">
        <f aca="false">IF(C30="","",F30*G30*(1-H30))</f>
        <v/>
      </c>
      <c r="J30" s="20"/>
      <c r="K30" s="20"/>
      <c r="L30" s="11" t="str">
        <f aca="false">IF(C30="","",F30*IFERROR(INDEX(Productos!$F$5:$F$104,MATCH(C30,Productos!$B$5:$B$104,0)),0))</f>
        <v/>
      </c>
      <c r="M30" s="11" t="str">
        <f aca="false">IF(C30="","",I30-L30)</f>
        <v/>
      </c>
    </row>
    <row r="31" customFormat="false" ht="15" hidden="false" customHeight="false" outlineLevel="0" collapsed="false">
      <c r="A31" s="25"/>
      <c r="B31" s="20"/>
      <c r="C31" s="20"/>
      <c r="D31" s="7" t="str">
        <f aca="false">IF(C31="","",IFERROR(INDEX(Productos!$A$5:$A$104,MATCH(C31,Productos!$B$5:$B$104,0)),""))</f>
        <v/>
      </c>
      <c r="E31" s="7" t="str">
        <f aca="false">IF(C31="","",IFERROR(INDEX(Productos!$C$5:$C$104,MATCH(C31,Productos!$B$5:$B$104,0)),""))</f>
        <v/>
      </c>
      <c r="F31" s="21"/>
      <c r="G31" s="11" t="str">
        <f aca="false">IF(C31="","",IFERROR(INDEX(Productos!$G$5:$G$104,MATCH(C31,Productos!$B$5:$B$104,0)),0))</f>
        <v/>
      </c>
      <c r="H31" s="26"/>
      <c r="I31" s="11" t="str">
        <f aca="false">IF(C31="","",F31*G31*(1-H31))</f>
        <v/>
      </c>
      <c r="J31" s="20"/>
      <c r="K31" s="20"/>
      <c r="L31" s="11" t="str">
        <f aca="false">IF(C31="","",F31*IFERROR(INDEX(Productos!$F$5:$F$104,MATCH(C31,Productos!$B$5:$B$104,0)),0))</f>
        <v/>
      </c>
      <c r="M31" s="11" t="str">
        <f aca="false">IF(C31="","",I31-L31)</f>
        <v/>
      </c>
    </row>
    <row r="32" customFormat="false" ht="15" hidden="false" customHeight="false" outlineLevel="0" collapsed="false">
      <c r="A32" s="25"/>
      <c r="B32" s="20"/>
      <c r="C32" s="20"/>
      <c r="D32" s="7" t="str">
        <f aca="false">IF(C32="","",IFERROR(INDEX(Productos!$A$5:$A$104,MATCH(C32,Productos!$B$5:$B$104,0)),""))</f>
        <v/>
      </c>
      <c r="E32" s="7" t="str">
        <f aca="false">IF(C32="","",IFERROR(INDEX(Productos!$C$5:$C$104,MATCH(C32,Productos!$B$5:$B$104,0)),""))</f>
        <v/>
      </c>
      <c r="F32" s="21"/>
      <c r="G32" s="11" t="str">
        <f aca="false">IF(C32="","",IFERROR(INDEX(Productos!$G$5:$G$104,MATCH(C32,Productos!$B$5:$B$104,0)),0))</f>
        <v/>
      </c>
      <c r="H32" s="26"/>
      <c r="I32" s="11" t="str">
        <f aca="false">IF(C32="","",F32*G32*(1-H32))</f>
        <v/>
      </c>
      <c r="J32" s="20"/>
      <c r="K32" s="20"/>
      <c r="L32" s="11" t="str">
        <f aca="false">IF(C32="","",F32*IFERROR(INDEX(Productos!$F$5:$F$104,MATCH(C32,Productos!$B$5:$B$104,0)),0))</f>
        <v/>
      </c>
      <c r="M32" s="11" t="str">
        <f aca="false">IF(C32="","",I32-L32)</f>
        <v/>
      </c>
    </row>
    <row r="33" customFormat="false" ht="15" hidden="false" customHeight="false" outlineLevel="0" collapsed="false">
      <c r="A33" s="25"/>
      <c r="B33" s="20"/>
      <c r="C33" s="20"/>
      <c r="D33" s="7" t="str">
        <f aca="false">IF(C33="","",IFERROR(INDEX(Productos!$A$5:$A$104,MATCH(C33,Productos!$B$5:$B$104,0)),""))</f>
        <v/>
      </c>
      <c r="E33" s="7" t="str">
        <f aca="false">IF(C33="","",IFERROR(INDEX(Productos!$C$5:$C$104,MATCH(C33,Productos!$B$5:$B$104,0)),""))</f>
        <v/>
      </c>
      <c r="F33" s="21"/>
      <c r="G33" s="11" t="str">
        <f aca="false">IF(C33="","",IFERROR(INDEX(Productos!$G$5:$G$104,MATCH(C33,Productos!$B$5:$B$104,0)),0))</f>
        <v/>
      </c>
      <c r="H33" s="26"/>
      <c r="I33" s="11" t="str">
        <f aca="false">IF(C33="","",F33*G33*(1-H33))</f>
        <v/>
      </c>
      <c r="J33" s="20"/>
      <c r="K33" s="20"/>
      <c r="L33" s="11" t="str">
        <f aca="false">IF(C33="","",F33*IFERROR(INDEX(Productos!$F$5:$F$104,MATCH(C33,Productos!$B$5:$B$104,0)),0))</f>
        <v/>
      </c>
      <c r="M33" s="11" t="str">
        <f aca="false">IF(C33="","",I33-L33)</f>
        <v/>
      </c>
    </row>
    <row r="34" customFormat="false" ht="15" hidden="false" customHeight="false" outlineLevel="0" collapsed="false">
      <c r="A34" s="25"/>
      <c r="B34" s="20"/>
      <c r="C34" s="20"/>
      <c r="D34" s="7" t="str">
        <f aca="false">IF(C34="","",IFERROR(INDEX(Productos!$A$5:$A$104,MATCH(C34,Productos!$B$5:$B$104,0)),""))</f>
        <v/>
      </c>
      <c r="E34" s="7" t="str">
        <f aca="false">IF(C34="","",IFERROR(INDEX(Productos!$C$5:$C$104,MATCH(C34,Productos!$B$5:$B$104,0)),""))</f>
        <v/>
      </c>
      <c r="F34" s="21"/>
      <c r="G34" s="11" t="str">
        <f aca="false">IF(C34="","",IFERROR(INDEX(Productos!$G$5:$G$104,MATCH(C34,Productos!$B$5:$B$104,0)),0))</f>
        <v/>
      </c>
      <c r="H34" s="26"/>
      <c r="I34" s="11" t="str">
        <f aca="false">IF(C34="","",F34*G34*(1-H34))</f>
        <v/>
      </c>
      <c r="J34" s="20"/>
      <c r="K34" s="20"/>
      <c r="L34" s="11" t="str">
        <f aca="false">IF(C34="","",F34*IFERROR(INDEX(Productos!$F$5:$F$104,MATCH(C34,Productos!$B$5:$B$104,0)),0))</f>
        <v/>
      </c>
      <c r="M34" s="11" t="str">
        <f aca="false">IF(C34="","",I34-L34)</f>
        <v/>
      </c>
    </row>
    <row r="35" customFormat="false" ht="15" hidden="false" customHeight="false" outlineLevel="0" collapsed="false">
      <c r="A35" s="25"/>
      <c r="B35" s="20"/>
      <c r="C35" s="20"/>
      <c r="D35" s="7" t="str">
        <f aca="false">IF(C35="","",IFERROR(INDEX(Productos!$A$5:$A$104,MATCH(C35,Productos!$B$5:$B$104,0)),""))</f>
        <v/>
      </c>
      <c r="E35" s="7" t="str">
        <f aca="false">IF(C35="","",IFERROR(INDEX(Productos!$C$5:$C$104,MATCH(C35,Productos!$B$5:$B$104,0)),""))</f>
        <v/>
      </c>
      <c r="F35" s="21"/>
      <c r="G35" s="11" t="str">
        <f aca="false">IF(C35="","",IFERROR(INDEX(Productos!$G$5:$G$104,MATCH(C35,Productos!$B$5:$B$104,0)),0))</f>
        <v/>
      </c>
      <c r="H35" s="26"/>
      <c r="I35" s="11" t="str">
        <f aca="false">IF(C35="","",F35*G35*(1-H35))</f>
        <v/>
      </c>
      <c r="J35" s="20"/>
      <c r="K35" s="20"/>
      <c r="L35" s="11" t="str">
        <f aca="false">IF(C35="","",F35*IFERROR(INDEX(Productos!$F$5:$F$104,MATCH(C35,Productos!$B$5:$B$104,0)),0))</f>
        <v/>
      </c>
      <c r="M35" s="11" t="str">
        <f aca="false">IF(C35="","",I35-L35)</f>
        <v/>
      </c>
    </row>
    <row r="36" customFormat="false" ht="15" hidden="false" customHeight="false" outlineLevel="0" collapsed="false">
      <c r="A36" s="25"/>
      <c r="B36" s="20"/>
      <c r="C36" s="20"/>
      <c r="D36" s="7" t="str">
        <f aca="false">IF(C36="","",IFERROR(INDEX(Productos!$A$5:$A$104,MATCH(C36,Productos!$B$5:$B$104,0)),""))</f>
        <v/>
      </c>
      <c r="E36" s="7" t="str">
        <f aca="false">IF(C36="","",IFERROR(INDEX(Productos!$C$5:$C$104,MATCH(C36,Productos!$B$5:$B$104,0)),""))</f>
        <v/>
      </c>
      <c r="F36" s="21"/>
      <c r="G36" s="11" t="str">
        <f aca="false">IF(C36="","",IFERROR(INDEX(Productos!$G$5:$G$104,MATCH(C36,Productos!$B$5:$B$104,0)),0))</f>
        <v/>
      </c>
      <c r="H36" s="26"/>
      <c r="I36" s="11" t="str">
        <f aca="false">IF(C36="","",F36*G36*(1-H36))</f>
        <v/>
      </c>
      <c r="J36" s="20"/>
      <c r="K36" s="20"/>
      <c r="L36" s="11" t="str">
        <f aca="false">IF(C36="","",F36*IFERROR(INDEX(Productos!$F$5:$F$104,MATCH(C36,Productos!$B$5:$B$104,0)),0))</f>
        <v/>
      </c>
      <c r="M36" s="11" t="str">
        <f aca="false">IF(C36="","",I36-L36)</f>
        <v/>
      </c>
    </row>
    <row r="37" customFormat="false" ht="15" hidden="false" customHeight="false" outlineLevel="0" collapsed="false">
      <c r="A37" s="25"/>
      <c r="B37" s="20"/>
      <c r="C37" s="20"/>
      <c r="D37" s="7" t="str">
        <f aca="false">IF(C37="","",IFERROR(INDEX(Productos!$A$5:$A$104,MATCH(C37,Productos!$B$5:$B$104,0)),""))</f>
        <v/>
      </c>
      <c r="E37" s="7" t="str">
        <f aca="false">IF(C37="","",IFERROR(INDEX(Productos!$C$5:$C$104,MATCH(C37,Productos!$B$5:$B$104,0)),""))</f>
        <v/>
      </c>
      <c r="F37" s="21"/>
      <c r="G37" s="11" t="str">
        <f aca="false">IF(C37="","",IFERROR(INDEX(Productos!$G$5:$G$104,MATCH(C37,Productos!$B$5:$B$104,0)),0))</f>
        <v/>
      </c>
      <c r="H37" s="26"/>
      <c r="I37" s="11" t="str">
        <f aca="false">IF(C37="","",F37*G37*(1-H37))</f>
        <v/>
      </c>
      <c r="J37" s="20"/>
      <c r="K37" s="20"/>
      <c r="L37" s="11" t="str">
        <f aca="false">IF(C37="","",F37*IFERROR(INDEX(Productos!$F$5:$F$104,MATCH(C37,Productos!$B$5:$B$104,0)),0))</f>
        <v/>
      </c>
      <c r="M37" s="11" t="str">
        <f aca="false">IF(C37="","",I37-L37)</f>
        <v/>
      </c>
    </row>
    <row r="38" customFormat="false" ht="15" hidden="false" customHeight="false" outlineLevel="0" collapsed="false">
      <c r="A38" s="25"/>
      <c r="B38" s="20"/>
      <c r="C38" s="20"/>
      <c r="D38" s="7" t="str">
        <f aca="false">IF(C38="","",IFERROR(INDEX(Productos!$A$5:$A$104,MATCH(C38,Productos!$B$5:$B$104,0)),""))</f>
        <v/>
      </c>
      <c r="E38" s="7" t="str">
        <f aca="false">IF(C38="","",IFERROR(INDEX(Productos!$C$5:$C$104,MATCH(C38,Productos!$B$5:$B$104,0)),""))</f>
        <v/>
      </c>
      <c r="F38" s="21"/>
      <c r="G38" s="11" t="str">
        <f aca="false">IF(C38="","",IFERROR(INDEX(Productos!$G$5:$G$104,MATCH(C38,Productos!$B$5:$B$104,0)),0))</f>
        <v/>
      </c>
      <c r="H38" s="26"/>
      <c r="I38" s="11" t="str">
        <f aca="false">IF(C38="","",F38*G38*(1-H38))</f>
        <v/>
      </c>
      <c r="J38" s="20"/>
      <c r="K38" s="20"/>
      <c r="L38" s="11" t="str">
        <f aca="false">IF(C38="","",F38*IFERROR(INDEX(Productos!$F$5:$F$104,MATCH(C38,Productos!$B$5:$B$104,0)),0))</f>
        <v/>
      </c>
      <c r="M38" s="11" t="str">
        <f aca="false">IF(C38="","",I38-L38)</f>
        <v/>
      </c>
    </row>
    <row r="39" customFormat="false" ht="15" hidden="false" customHeight="false" outlineLevel="0" collapsed="false">
      <c r="A39" s="25"/>
      <c r="B39" s="20"/>
      <c r="C39" s="20"/>
      <c r="D39" s="7" t="str">
        <f aca="false">IF(C39="","",IFERROR(INDEX(Productos!$A$5:$A$104,MATCH(C39,Productos!$B$5:$B$104,0)),""))</f>
        <v/>
      </c>
      <c r="E39" s="7" t="str">
        <f aca="false">IF(C39="","",IFERROR(INDEX(Productos!$C$5:$C$104,MATCH(C39,Productos!$B$5:$B$104,0)),""))</f>
        <v/>
      </c>
      <c r="F39" s="21"/>
      <c r="G39" s="11" t="str">
        <f aca="false">IF(C39="","",IFERROR(INDEX(Productos!$G$5:$G$104,MATCH(C39,Productos!$B$5:$B$104,0)),0))</f>
        <v/>
      </c>
      <c r="H39" s="26"/>
      <c r="I39" s="11" t="str">
        <f aca="false">IF(C39="","",F39*G39*(1-H39))</f>
        <v/>
      </c>
      <c r="J39" s="20"/>
      <c r="K39" s="20"/>
      <c r="L39" s="11" t="str">
        <f aca="false">IF(C39="","",F39*IFERROR(INDEX(Productos!$F$5:$F$104,MATCH(C39,Productos!$B$5:$B$104,0)),0))</f>
        <v/>
      </c>
      <c r="M39" s="11" t="str">
        <f aca="false">IF(C39="","",I39-L39)</f>
        <v/>
      </c>
    </row>
    <row r="40" customFormat="false" ht="15" hidden="false" customHeight="false" outlineLevel="0" collapsed="false">
      <c r="A40" s="25"/>
      <c r="B40" s="20"/>
      <c r="C40" s="20"/>
      <c r="D40" s="7" t="str">
        <f aca="false">IF(C40="","",IFERROR(INDEX(Productos!$A$5:$A$104,MATCH(C40,Productos!$B$5:$B$104,0)),""))</f>
        <v/>
      </c>
      <c r="E40" s="7" t="str">
        <f aca="false">IF(C40="","",IFERROR(INDEX(Productos!$C$5:$C$104,MATCH(C40,Productos!$B$5:$B$104,0)),""))</f>
        <v/>
      </c>
      <c r="F40" s="21"/>
      <c r="G40" s="11" t="str">
        <f aca="false">IF(C40="","",IFERROR(INDEX(Productos!$G$5:$G$104,MATCH(C40,Productos!$B$5:$B$104,0)),0))</f>
        <v/>
      </c>
      <c r="H40" s="26"/>
      <c r="I40" s="11" t="str">
        <f aca="false">IF(C40="","",F40*G40*(1-H40))</f>
        <v/>
      </c>
      <c r="J40" s="20"/>
      <c r="K40" s="20"/>
      <c r="L40" s="11" t="str">
        <f aca="false">IF(C40="","",F40*IFERROR(INDEX(Productos!$F$5:$F$104,MATCH(C40,Productos!$B$5:$B$104,0)),0))</f>
        <v/>
      </c>
      <c r="M40" s="11" t="str">
        <f aca="false">IF(C40="","",I40-L40)</f>
        <v/>
      </c>
    </row>
    <row r="41" customFormat="false" ht="15" hidden="false" customHeight="false" outlineLevel="0" collapsed="false">
      <c r="A41" s="25"/>
      <c r="B41" s="20"/>
      <c r="C41" s="20"/>
      <c r="D41" s="7" t="str">
        <f aca="false">IF(C41="","",IFERROR(INDEX(Productos!$A$5:$A$104,MATCH(C41,Productos!$B$5:$B$104,0)),""))</f>
        <v/>
      </c>
      <c r="E41" s="7" t="str">
        <f aca="false">IF(C41="","",IFERROR(INDEX(Productos!$C$5:$C$104,MATCH(C41,Productos!$B$5:$B$104,0)),""))</f>
        <v/>
      </c>
      <c r="F41" s="21"/>
      <c r="G41" s="11" t="str">
        <f aca="false">IF(C41="","",IFERROR(INDEX(Productos!$G$5:$G$104,MATCH(C41,Productos!$B$5:$B$104,0)),0))</f>
        <v/>
      </c>
      <c r="H41" s="26"/>
      <c r="I41" s="11" t="str">
        <f aca="false">IF(C41="","",F41*G41*(1-H41))</f>
        <v/>
      </c>
      <c r="J41" s="20"/>
      <c r="K41" s="20"/>
      <c r="L41" s="11" t="str">
        <f aca="false">IF(C41="","",F41*IFERROR(INDEX(Productos!$F$5:$F$104,MATCH(C41,Productos!$B$5:$B$104,0)),0))</f>
        <v/>
      </c>
      <c r="M41" s="11" t="str">
        <f aca="false">IF(C41="","",I41-L41)</f>
        <v/>
      </c>
    </row>
    <row r="42" customFormat="false" ht="15" hidden="false" customHeight="false" outlineLevel="0" collapsed="false">
      <c r="A42" s="25"/>
      <c r="B42" s="20"/>
      <c r="C42" s="20"/>
      <c r="D42" s="7" t="str">
        <f aca="false">IF(C42="","",IFERROR(INDEX(Productos!$A$5:$A$104,MATCH(C42,Productos!$B$5:$B$104,0)),""))</f>
        <v/>
      </c>
      <c r="E42" s="7" t="str">
        <f aca="false">IF(C42="","",IFERROR(INDEX(Productos!$C$5:$C$104,MATCH(C42,Productos!$B$5:$B$104,0)),""))</f>
        <v/>
      </c>
      <c r="F42" s="21"/>
      <c r="G42" s="11" t="str">
        <f aca="false">IF(C42="","",IFERROR(INDEX(Productos!$G$5:$G$104,MATCH(C42,Productos!$B$5:$B$104,0)),0))</f>
        <v/>
      </c>
      <c r="H42" s="26"/>
      <c r="I42" s="11" t="str">
        <f aca="false">IF(C42="","",F42*G42*(1-H42))</f>
        <v/>
      </c>
      <c r="J42" s="20"/>
      <c r="K42" s="20"/>
      <c r="L42" s="11" t="str">
        <f aca="false">IF(C42="","",F42*IFERROR(INDEX(Productos!$F$5:$F$104,MATCH(C42,Productos!$B$5:$B$104,0)),0))</f>
        <v/>
      </c>
      <c r="M42" s="11" t="str">
        <f aca="false">IF(C42="","",I42-L42)</f>
        <v/>
      </c>
    </row>
    <row r="43" customFormat="false" ht="15" hidden="false" customHeight="false" outlineLevel="0" collapsed="false">
      <c r="A43" s="25"/>
      <c r="B43" s="20"/>
      <c r="C43" s="20"/>
      <c r="D43" s="7" t="str">
        <f aca="false">IF(C43="","",IFERROR(INDEX(Productos!$A$5:$A$104,MATCH(C43,Productos!$B$5:$B$104,0)),""))</f>
        <v/>
      </c>
      <c r="E43" s="7" t="str">
        <f aca="false">IF(C43="","",IFERROR(INDEX(Productos!$C$5:$C$104,MATCH(C43,Productos!$B$5:$B$104,0)),""))</f>
        <v/>
      </c>
      <c r="F43" s="21"/>
      <c r="G43" s="11" t="str">
        <f aca="false">IF(C43="","",IFERROR(INDEX(Productos!$G$5:$G$104,MATCH(C43,Productos!$B$5:$B$104,0)),0))</f>
        <v/>
      </c>
      <c r="H43" s="26"/>
      <c r="I43" s="11" t="str">
        <f aca="false">IF(C43="","",F43*G43*(1-H43))</f>
        <v/>
      </c>
      <c r="J43" s="20"/>
      <c r="K43" s="20"/>
      <c r="L43" s="11" t="str">
        <f aca="false">IF(C43="","",F43*IFERROR(INDEX(Productos!$F$5:$F$104,MATCH(C43,Productos!$B$5:$B$104,0)),0))</f>
        <v/>
      </c>
      <c r="M43" s="11" t="str">
        <f aca="false">IF(C43="","",I43-L43)</f>
        <v/>
      </c>
    </row>
    <row r="44" customFormat="false" ht="15" hidden="false" customHeight="false" outlineLevel="0" collapsed="false">
      <c r="A44" s="25"/>
      <c r="B44" s="20"/>
      <c r="C44" s="20"/>
      <c r="D44" s="7" t="str">
        <f aca="false">IF(C44="","",IFERROR(INDEX(Productos!$A$5:$A$104,MATCH(C44,Productos!$B$5:$B$104,0)),""))</f>
        <v/>
      </c>
      <c r="E44" s="7" t="str">
        <f aca="false">IF(C44="","",IFERROR(INDEX(Productos!$C$5:$C$104,MATCH(C44,Productos!$B$5:$B$104,0)),""))</f>
        <v/>
      </c>
      <c r="F44" s="21"/>
      <c r="G44" s="11" t="str">
        <f aca="false">IF(C44="","",IFERROR(INDEX(Productos!$G$5:$G$104,MATCH(C44,Productos!$B$5:$B$104,0)),0))</f>
        <v/>
      </c>
      <c r="H44" s="26"/>
      <c r="I44" s="11" t="str">
        <f aca="false">IF(C44="","",F44*G44*(1-H44))</f>
        <v/>
      </c>
      <c r="J44" s="20"/>
      <c r="K44" s="20"/>
      <c r="L44" s="11" t="str">
        <f aca="false">IF(C44="","",F44*IFERROR(INDEX(Productos!$F$5:$F$104,MATCH(C44,Productos!$B$5:$B$104,0)),0))</f>
        <v/>
      </c>
      <c r="M44" s="11" t="str">
        <f aca="false">IF(C44="","",I44-L44)</f>
        <v/>
      </c>
    </row>
    <row r="45" customFormat="false" ht="15" hidden="false" customHeight="false" outlineLevel="0" collapsed="false">
      <c r="A45" s="25"/>
      <c r="B45" s="20"/>
      <c r="C45" s="20"/>
      <c r="D45" s="7" t="str">
        <f aca="false">IF(C45="","",IFERROR(INDEX(Productos!$A$5:$A$104,MATCH(C45,Productos!$B$5:$B$104,0)),""))</f>
        <v/>
      </c>
      <c r="E45" s="7" t="str">
        <f aca="false">IF(C45="","",IFERROR(INDEX(Productos!$C$5:$C$104,MATCH(C45,Productos!$B$5:$B$104,0)),""))</f>
        <v/>
      </c>
      <c r="F45" s="21"/>
      <c r="G45" s="11" t="str">
        <f aca="false">IF(C45="","",IFERROR(INDEX(Productos!$G$5:$G$104,MATCH(C45,Productos!$B$5:$B$104,0)),0))</f>
        <v/>
      </c>
      <c r="H45" s="26"/>
      <c r="I45" s="11" t="str">
        <f aca="false">IF(C45="","",F45*G45*(1-H45))</f>
        <v/>
      </c>
      <c r="J45" s="20"/>
      <c r="K45" s="20"/>
      <c r="L45" s="11" t="str">
        <f aca="false">IF(C45="","",F45*IFERROR(INDEX(Productos!$F$5:$F$104,MATCH(C45,Productos!$B$5:$B$104,0)),0))</f>
        <v/>
      </c>
      <c r="M45" s="11" t="str">
        <f aca="false">IF(C45="","",I45-L45)</f>
        <v/>
      </c>
    </row>
    <row r="46" customFormat="false" ht="15" hidden="false" customHeight="false" outlineLevel="0" collapsed="false">
      <c r="A46" s="25"/>
      <c r="B46" s="20"/>
      <c r="C46" s="20"/>
      <c r="D46" s="7" t="str">
        <f aca="false">IF(C46="","",IFERROR(INDEX(Productos!$A$5:$A$104,MATCH(C46,Productos!$B$5:$B$104,0)),""))</f>
        <v/>
      </c>
      <c r="E46" s="7" t="str">
        <f aca="false">IF(C46="","",IFERROR(INDEX(Productos!$C$5:$C$104,MATCH(C46,Productos!$B$5:$B$104,0)),""))</f>
        <v/>
      </c>
      <c r="F46" s="21"/>
      <c r="G46" s="11" t="str">
        <f aca="false">IF(C46="","",IFERROR(INDEX(Productos!$G$5:$G$104,MATCH(C46,Productos!$B$5:$B$104,0)),0))</f>
        <v/>
      </c>
      <c r="H46" s="26"/>
      <c r="I46" s="11" t="str">
        <f aca="false">IF(C46="","",F46*G46*(1-H46))</f>
        <v/>
      </c>
      <c r="J46" s="20"/>
      <c r="K46" s="20"/>
      <c r="L46" s="11" t="str">
        <f aca="false">IF(C46="","",F46*IFERROR(INDEX(Productos!$F$5:$F$104,MATCH(C46,Productos!$B$5:$B$104,0)),0))</f>
        <v/>
      </c>
      <c r="M46" s="11" t="str">
        <f aca="false">IF(C46="","",I46-L46)</f>
        <v/>
      </c>
    </row>
    <row r="47" customFormat="false" ht="15" hidden="false" customHeight="false" outlineLevel="0" collapsed="false">
      <c r="A47" s="25"/>
      <c r="B47" s="20"/>
      <c r="C47" s="20"/>
      <c r="D47" s="7" t="str">
        <f aca="false">IF(C47="","",IFERROR(INDEX(Productos!$A$5:$A$104,MATCH(C47,Productos!$B$5:$B$104,0)),""))</f>
        <v/>
      </c>
      <c r="E47" s="7" t="str">
        <f aca="false">IF(C47="","",IFERROR(INDEX(Productos!$C$5:$C$104,MATCH(C47,Productos!$B$5:$B$104,0)),""))</f>
        <v/>
      </c>
      <c r="F47" s="21"/>
      <c r="G47" s="11" t="str">
        <f aca="false">IF(C47="","",IFERROR(INDEX(Productos!$G$5:$G$104,MATCH(C47,Productos!$B$5:$B$104,0)),0))</f>
        <v/>
      </c>
      <c r="H47" s="26"/>
      <c r="I47" s="11" t="str">
        <f aca="false">IF(C47="","",F47*G47*(1-H47))</f>
        <v/>
      </c>
      <c r="J47" s="20"/>
      <c r="K47" s="20"/>
      <c r="L47" s="11" t="str">
        <f aca="false">IF(C47="","",F47*IFERROR(INDEX(Productos!$F$5:$F$104,MATCH(C47,Productos!$B$5:$B$104,0)),0))</f>
        <v/>
      </c>
      <c r="M47" s="11" t="str">
        <f aca="false">IF(C47="","",I47-L47)</f>
        <v/>
      </c>
    </row>
    <row r="48" customFormat="false" ht="15" hidden="false" customHeight="false" outlineLevel="0" collapsed="false">
      <c r="A48" s="25"/>
      <c r="B48" s="20"/>
      <c r="C48" s="20"/>
      <c r="D48" s="7" t="str">
        <f aca="false">IF(C48="","",IFERROR(INDEX(Productos!$A$5:$A$104,MATCH(C48,Productos!$B$5:$B$104,0)),""))</f>
        <v/>
      </c>
      <c r="E48" s="7" t="str">
        <f aca="false">IF(C48="","",IFERROR(INDEX(Productos!$C$5:$C$104,MATCH(C48,Productos!$B$5:$B$104,0)),""))</f>
        <v/>
      </c>
      <c r="F48" s="21"/>
      <c r="G48" s="11" t="str">
        <f aca="false">IF(C48="","",IFERROR(INDEX(Productos!$G$5:$G$104,MATCH(C48,Productos!$B$5:$B$104,0)),0))</f>
        <v/>
      </c>
      <c r="H48" s="26"/>
      <c r="I48" s="11" t="str">
        <f aca="false">IF(C48="","",F48*G48*(1-H48))</f>
        <v/>
      </c>
      <c r="J48" s="20"/>
      <c r="K48" s="20"/>
      <c r="L48" s="11" t="str">
        <f aca="false">IF(C48="","",F48*IFERROR(INDEX(Productos!$F$5:$F$104,MATCH(C48,Productos!$B$5:$B$104,0)),0))</f>
        <v/>
      </c>
      <c r="M48" s="11" t="str">
        <f aca="false">IF(C48="","",I48-L48)</f>
        <v/>
      </c>
    </row>
    <row r="49" customFormat="false" ht="15" hidden="false" customHeight="false" outlineLevel="0" collapsed="false">
      <c r="A49" s="25"/>
      <c r="B49" s="20"/>
      <c r="C49" s="20"/>
      <c r="D49" s="7" t="str">
        <f aca="false">IF(C49="","",IFERROR(INDEX(Productos!$A$5:$A$104,MATCH(C49,Productos!$B$5:$B$104,0)),""))</f>
        <v/>
      </c>
      <c r="E49" s="7" t="str">
        <f aca="false">IF(C49="","",IFERROR(INDEX(Productos!$C$5:$C$104,MATCH(C49,Productos!$B$5:$B$104,0)),""))</f>
        <v/>
      </c>
      <c r="F49" s="21"/>
      <c r="G49" s="11" t="str">
        <f aca="false">IF(C49="","",IFERROR(INDEX(Productos!$G$5:$G$104,MATCH(C49,Productos!$B$5:$B$104,0)),0))</f>
        <v/>
      </c>
      <c r="H49" s="26"/>
      <c r="I49" s="11" t="str">
        <f aca="false">IF(C49="","",F49*G49*(1-H49))</f>
        <v/>
      </c>
      <c r="J49" s="20"/>
      <c r="K49" s="20"/>
      <c r="L49" s="11" t="str">
        <f aca="false">IF(C49="","",F49*IFERROR(INDEX(Productos!$F$5:$F$104,MATCH(C49,Productos!$B$5:$B$104,0)),0))</f>
        <v/>
      </c>
      <c r="M49" s="11" t="str">
        <f aca="false">IF(C49="","",I49-L49)</f>
        <v/>
      </c>
    </row>
    <row r="50" customFormat="false" ht="15" hidden="false" customHeight="false" outlineLevel="0" collapsed="false">
      <c r="A50" s="25"/>
      <c r="B50" s="20"/>
      <c r="C50" s="20"/>
      <c r="D50" s="7" t="str">
        <f aca="false">IF(C50="","",IFERROR(INDEX(Productos!$A$5:$A$104,MATCH(C50,Productos!$B$5:$B$104,0)),""))</f>
        <v/>
      </c>
      <c r="E50" s="7" t="str">
        <f aca="false">IF(C50="","",IFERROR(INDEX(Productos!$C$5:$C$104,MATCH(C50,Productos!$B$5:$B$104,0)),""))</f>
        <v/>
      </c>
      <c r="F50" s="21"/>
      <c r="G50" s="11" t="str">
        <f aca="false">IF(C50="","",IFERROR(INDEX(Productos!$G$5:$G$104,MATCH(C50,Productos!$B$5:$B$104,0)),0))</f>
        <v/>
      </c>
      <c r="H50" s="26"/>
      <c r="I50" s="11" t="str">
        <f aca="false">IF(C50="","",F50*G50*(1-H50))</f>
        <v/>
      </c>
      <c r="J50" s="20"/>
      <c r="K50" s="20"/>
      <c r="L50" s="11" t="str">
        <f aca="false">IF(C50="","",F50*IFERROR(INDEX(Productos!$F$5:$F$104,MATCH(C50,Productos!$B$5:$B$104,0)),0))</f>
        <v/>
      </c>
      <c r="M50" s="11" t="str">
        <f aca="false">IF(C50="","",I50-L50)</f>
        <v/>
      </c>
    </row>
    <row r="51" customFormat="false" ht="15" hidden="false" customHeight="false" outlineLevel="0" collapsed="false">
      <c r="A51" s="25"/>
      <c r="B51" s="20"/>
      <c r="C51" s="20"/>
      <c r="D51" s="7" t="str">
        <f aca="false">IF(C51="","",IFERROR(INDEX(Productos!$A$5:$A$104,MATCH(C51,Productos!$B$5:$B$104,0)),""))</f>
        <v/>
      </c>
      <c r="E51" s="7" t="str">
        <f aca="false">IF(C51="","",IFERROR(INDEX(Productos!$C$5:$C$104,MATCH(C51,Productos!$B$5:$B$104,0)),""))</f>
        <v/>
      </c>
      <c r="F51" s="21"/>
      <c r="G51" s="11" t="str">
        <f aca="false">IF(C51="","",IFERROR(INDEX(Productos!$G$5:$G$104,MATCH(C51,Productos!$B$5:$B$104,0)),0))</f>
        <v/>
      </c>
      <c r="H51" s="26"/>
      <c r="I51" s="11" t="str">
        <f aca="false">IF(C51="","",F51*G51*(1-H51))</f>
        <v/>
      </c>
      <c r="J51" s="20"/>
      <c r="K51" s="20"/>
      <c r="L51" s="11" t="str">
        <f aca="false">IF(C51="","",F51*IFERROR(INDEX(Productos!$F$5:$F$104,MATCH(C51,Productos!$B$5:$B$104,0)),0))</f>
        <v/>
      </c>
      <c r="M51" s="11" t="str">
        <f aca="false">IF(C51="","",I51-L51)</f>
        <v/>
      </c>
    </row>
    <row r="52" customFormat="false" ht="15" hidden="false" customHeight="false" outlineLevel="0" collapsed="false">
      <c r="A52" s="25"/>
      <c r="B52" s="20"/>
      <c r="C52" s="20"/>
      <c r="D52" s="7" t="str">
        <f aca="false">IF(C52="","",IFERROR(INDEX(Productos!$A$5:$A$104,MATCH(C52,Productos!$B$5:$B$104,0)),""))</f>
        <v/>
      </c>
      <c r="E52" s="7" t="str">
        <f aca="false">IF(C52="","",IFERROR(INDEX(Productos!$C$5:$C$104,MATCH(C52,Productos!$B$5:$B$104,0)),""))</f>
        <v/>
      </c>
      <c r="F52" s="21"/>
      <c r="G52" s="11" t="str">
        <f aca="false">IF(C52="","",IFERROR(INDEX(Productos!$G$5:$G$104,MATCH(C52,Productos!$B$5:$B$104,0)),0))</f>
        <v/>
      </c>
      <c r="H52" s="26"/>
      <c r="I52" s="11" t="str">
        <f aca="false">IF(C52="","",F52*G52*(1-H52))</f>
        <v/>
      </c>
      <c r="J52" s="20"/>
      <c r="K52" s="20"/>
      <c r="L52" s="11" t="str">
        <f aca="false">IF(C52="","",F52*IFERROR(INDEX(Productos!$F$5:$F$104,MATCH(C52,Productos!$B$5:$B$104,0)),0))</f>
        <v/>
      </c>
      <c r="M52" s="11" t="str">
        <f aca="false">IF(C52="","",I52-L52)</f>
        <v/>
      </c>
    </row>
    <row r="53" customFormat="false" ht="15" hidden="false" customHeight="false" outlineLevel="0" collapsed="false">
      <c r="A53" s="25"/>
      <c r="B53" s="20"/>
      <c r="C53" s="20"/>
      <c r="D53" s="7" t="str">
        <f aca="false">IF(C53="","",IFERROR(INDEX(Productos!$A$5:$A$104,MATCH(C53,Productos!$B$5:$B$104,0)),""))</f>
        <v/>
      </c>
      <c r="E53" s="7" t="str">
        <f aca="false">IF(C53="","",IFERROR(INDEX(Productos!$C$5:$C$104,MATCH(C53,Productos!$B$5:$B$104,0)),""))</f>
        <v/>
      </c>
      <c r="F53" s="21"/>
      <c r="G53" s="11" t="str">
        <f aca="false">IF(C53="","",IFERROR(INDEX(Productos!$G$5:$G$104,MATCH(C53,Productos!$B$5:$B$104,0)),0))</f>
        <v/>
      </c>
      <c r="H53" s="26"/>
      <c r="I53" s="11" t="str">
        <f aca="false">IF(C53="","",F53*G53*(1-H53))</f>
        <v/>
      </c>
      <c r="J53" s="20"/>
      <c r="K53" s="20"/>
      <c r="L53" s="11" t="str">
        <f aca="false">IF(C53="","",F53*IFERROR(INDEX(Productos!$F$5:$F$104,MATCH(C53,Productos!$B$5:$B$104,0)),0))</f>
        <v/>
      </c>
      <c r="M53" s="11" t="str">
        <f aca="false">IF(C53="","",I53-L53)</f>
        <v/>
      </c>
    </row>
    <row r="54" customFormat="false" ht="15" hidden="false" customHeight="false" outlineLevel="0" collapsed="false">
      <c r="A54" s="25"/>
      <c r="B54" s="20"/>
      <c r="C54" s="20"/>
      <c r="D54" s="7" t="str">
        <f aca="false">IF(C54="","",IFERROR(INDEX(Productos!$A$5:$A$104,MATCH(C54,Productos!$B$5:$B$104,0)),""))</f>
        <v/>
      </c>
      <c r="E54" s="7" t="str">
        <f aca="false">IF(C54="","",IFERROR(INDEX(Productos!$C$5:$C$104,MATCH(C54,Productos!$B$5:$B$104,0)),""))</f>
        <v/>
      </c>
      <c r="F54" s="21"/>
      <c r="G54" s="11" t="str">
        <f aca="false">IF(C54="","",IFERROR(INDEX(Productos!$G$5:$G$104,MATCH(C54,Productos!$B$5:$B$104,0)),0))</f>
        <v/>
      </c>
      <c r="H54" s="26"/>
      <c r="I54" s="11" t="str">
        <f aca="false">IF(C54="","",F54*G54*(1-H54))</f>
        <v/>
      </c>
      <c r="J54" s="20"/>
      <c r="K54" s="20"/>
      <c r="L54" s="11" t="str">
        <f aca="false">IF(C54="","",F54*IFERROR(INDEX(Productos!$F$5:$F$104,MATCH(C54,Productos!$B$5:$B$104,0)),0))</f>
        <v/>
      </c>
      <c r="M54" s="11" t="str">
        <f aca="false">IF(C54="","",I54-L54)</f>
        <v/>
      </c>
    </row>
    <row r="55" customFormat="false" ht="15" hidden="false" customHeight="false" outlineLevel="0" collapsed="false">
      <c r="A55" s="25"/>
      <c r="B55" s="20"/>
      <c r="C55" s="20"/>
      <c r="D55" s="7" t="str">
        <f aca="false">IF(C55="","",IFERROR(INDEX(Productos!$A$5:$A$104,MATCH(C55,Productos!$B$5:$B$104,0)),""))</f>
        <v/>
      </c>
      <c r="E55" s="7" t="str">
        <f aca="false">IF(C55="","",IFERROR(INDEX(Productos!$C$5:$C$104,MATCH(C55,Productos!$B$5:$B$104,0)),""))</f>
        <v/>
      </c>
      <c r="F55" s="21"/>
      <c r="G55" s="11" t="str">
        <f aca="false">IF(C55="","",IFERROR(INDEX(Productos!$G$5:$G$104,MATCH(C55,Productos!$B$5:$B$104,0)),0))</f>
        <v/>
      </c>
      <c r="H55" s="26"/>
      <c r="I55" s="11" t="str">
        <f aca="false">IF(C55="","",F55*G55*(1-H55))</f>
        <v/>
      </c>
      <c r="J55" s="20"/>
      <c r="K55" s="20"/>
      <c r="L55" s="11" t="str">
        <f aca="false">IF(C55="","",F55*IFERROR(INDEX(Productos!$F$5:$F$104,MATCH(C55,Productos!$B$5:$B$104,0)),0))</f>
        <v/>
      </c>
      <c r="M55" s="11" t="str">
        <f aca="false">IF(C55="","",I55-L55)</f>
        <v/>
      </c>
    </row>
    <row r="56" customFormat="false" ht="15" hidden="false" customHeight="false" outlineLevel="0" collapsed="false">
      <c r="A56" s="25"/>
      <c r="B56" s="20"/>
      <c r="C56" s="20"/>
      <c r="D56" s="7" t="str">
        <f aca="false">IF(C56="","",IFERROR(INDEX(Productos!$A$5:$A$104,MATCH(C56,Productos!$B$5:$B$104,0)),""))</f>
        <v/>
      </c>
      <c r="E56" s="7" t="str">
        <f aca="false">IF(C56="","",IFERROR(INDEX(Productos!$C$5:$C$104,MATCH(C56,Productos!$B$5:$B$104,0)),""))</f>
        <v/>
      </c>
      <c r="F56" s="21"/>
      <c r="G56" s="11" t="str">
        <f aca="false">IF(C56="","",IFERROR(INDEX(Productos!$G$5:$G$104,MATCH(C56,Productos!$B$5:$B$104,0)),0))</f>
        <v/>
      </c>
      <c r="H56" s="26"/>
      <c r="I56" s="11" t="str">
        <f aca="false">IF(C56="","",F56*G56*(1-H56))</f>
        <v/>
      </c>
      <c r="J56" s="20"/>
      <c r="K56" s="20"/>
      <c r="L56" s="11" t="str">
        <f aca="false">IF(C56="","",F56*IFERROR(INDEX(Productos!$F$5:$F$104,MATCH(C56,Productos!$B$5:$B$104,0)),0))</f>
        <v/>
      </c>
      <c r="M56" s="11" t="str">
        <f aca="false">IF(C56="","",I56-L56)</f>
        <v/>
      </c>
    </row>
    <row r="57" customFormat="false" ht="15" hidden="false" customHeight="false" outlineLevel="0" collapsed="false">
      <c r="A57" s="25"/>
      <c r="B57" s="20"/>
      <c r="C57" s="20"/>
      <c r="D57" s="7" t="str">
        <f aca="false">IF(C57="","",IFERROR(INDEX(Productos!$A$5:$A$104,MATCH(C57,Productos!$B$5:$B$104,0)),""))</f>
        <v/>
      </c>
      <c r="E57" s="7" t="str">
        <f aca="false">IF(C57="","",IFERROR(INDEX(Productos!$C$5:$C$104,MATCH(C57,Productos!$B$5:$B$104,0)),""))</f>
        <v/>
      </c>
      <c r="F57" s="21"/>
      <c r="G57" s="11" t="str">
        <f aca="false">IF(C57="","",IFERROR(INDEX(Productos!$G$5:$G$104,MATCH(C57,Productos!$B$5:$B$104,0)),0))</f>
        <v/>
      </c>
      <c r="H57" s="26"/>
      <c r="I57" s="11" t="str">
        <f aca="false">IF(C57="","",F57*G57*(1-H57))</f>
        <v/>
      </c>
      <c r="J57" s="20"/>
      <c r="K57" s="20"/>
      <c r="L57" s="11" t="str">
        <f aca="false">IF(C57="","",F57*IFERROR(INDEX(Productos!$F$5:$F$104,MATCH(C57,Productos!$B$5:$B$104,0)),0))</f>
        <v/>
      </c>
      <c r="M57" s="11" t="str">
        <f aca="false">IF(C57="","",I57-L57)</f>
        <v/>
      </c>
    </row>
    <row r="58" customFormat="false" ht="15" hidden="false" customHeight="false" outlineLevel="0" collapsed="false">
      <c r="A58" s="25"/>
      <c r="B58" s="20"/>
      <c r="C58" s="20"/>
      <c r="D58" s="7" t="str">
        <f aca="false">IF(C58="","",IFERROR(INDEX(Productos!$A$5:$A$104,MATCH(C58,Productos!$B$5:$B$104,0)),""))</f>
        <v/>
      </c>
      <c r="E58" s="7" t="str">
        <f aca="false">IF(C58="","",IFERROR(INDEX(Productos!$C$5:$C$104,MATCH(C58,Productos!$B$5:$B$104,0)),""))</f>
        <v/>
      </c>
      <c r="F58" s="21"/>
      <c r="G58" s="11" t="str">
        <f aca="false">IF(C58="","",IFERROR(INDEX(Productos!$G$5:$G$104,MATCH(C58,Productos!$B$5:$B$104,0)),0))</f>
        <v/>
      </c>
      <c r="H58" s="26"/>
      <c r="I58" s="11" t="str">
        <f aca="false">IF(C58="","",F58*G58*(1-H58))</f>
        <v/>
      </c>
      <c r="J58" s="20"/>
      <c r="K58" s="20"/>
      <c r="L58" s="11" t="str">
        <f aca="false">IF(C58="","",F58*IFERROR(INDEX(Productos!$F$5:$F$104,MATCH(C58,Productos!$B$5:$B$104,0)),0))</f>
        <v/>
      </c>
      <c r="M58" s="11" t="str">
        <f aca="false">IF(C58="","",I58-L58)</f>
        <v/>
      </c>
    </row>
    <row r="59" customFormat="false" ht="15" hidden="false" customHeight="false" outlineLevel="0" collapsed="false">
      <c r="A59" s="25"/>
      <c r="B59" s="20"/>
      <c r="C59" s="20"/>
      <c r="D59" s="7" t="str">
        <f aca="false">IF(C59="","",IFERROR(INDEX(Productos!$A$5:$A$104,MATCH(C59,Productos!$B$5:$B$104,0)),""))</f>
        <v/>
      </c>
      <c r="E59" s="7" t="str">
        <f aca="false">IF(C59="","",IFERROR(INDEX(Productos!$C$5:$C$104,MATCH(C59,Productos!$B$5:$B$104,0)),""))</f>
        <v/>
      </c>
      <c r="F59" s="21"/>
      <c r="G59" s="11" t="str">
        <f aca="false">IF(C59="","",IFERROR(INDEX(Productos!$G$5:$G$104,MATCH(C59,Productos!$B$5:$B$104,0)),0))</f>
        <v/>
      </c>
      <c r="H59" s="26"/>
      <c r="I59" s="11" t="str">
        <f aca="false">IF(C59="","",F59*G59*(1-H59))</f>
        <v/>
      </c>
      <c r="J59" s="20"/>
      <c r="K59" s="20"/>
      <c r="L59" s="11" t="str">
        <f aca="false">IF(C59="","",F59*IFERROR(INDEX(Productos!$F$5:$F$104,MATCH(C59,Productos!$B$5:$B$104,0)),0))</f>
        <v/>
      </c>
      <c r="M59" s="11" t="str">
        <f aca="false">IF(C59="","",I59-L59)</f>
        <v/>
      </c>
    </row>
    <row r="60" customFormat="false" ht="15" hidden="false" customHeight="false" outlineLevel="0" collapsed="false">
      <c r="A60" s="25"/>
      <c r="B60" s="20"/>
      <c r="C60" s="20"/>
      <c r="D60" s="7" t="str">
        <f aca="false">IF(C60="","",IFERROR(INDEX(Productos!$A$5:$A$104,MATCH(C60,Productos!$B$5:$B$104,0)),""))</f>
        <v/>
      </c>
      <c r="E60" s="7" t="str">
        <f aca="false">IF(C60="","",IFERROR(INDEX(Productos!$C$5:$C$104,MATCH(C60,Productos!$B$5:$B$104,0)),""))</f>
        <v/>
      </c>
      <c r="F60" s="21"/>
      <c r="G60" s="11" t="str">
        <f aca="false">IF(C60="","",IFERROR(INDEX(Productos!$G$5:$G$104,MATCH(C60,Productos!$B$5:$B$104,0)),0))</f>
        <v/>
      </c>
      <c r="H60" s="26"/>
      <c r="I60" s="11" t="str">
        <f aca="false">IF(C60="","",F60*G60*(1-H60))</f>
        <v/>
      </c>
      <c r="J60" s="20"/>
      <c r="K60" s="20"/>
      <c r="L60" s="11" t="str">
        <f aca="false">IF(C60="","",F60*IFERROR(INDEX(Productos!$F$5:$F$104,MATCH(C60,Productos!$B$5:$B$104,0)),0))</f>
        <v/>
      </c>
      <c r="M60" s="11" t="str">
        <f aca="false">IF(C60="","",I60-L60)</f>
        <v/>
      </c>
    </row>
    <row r="61" customFormat="false" ht="15" hidden="false" customHeight="false" outlineLevel="0" collapsed="false">
      <c r="A61" s="25"/>
      <c r="B61" s="20"/>
      <c r="C61" s="20"/>
      <c r="D61" s="7" t="str">
        <f aca="false">IF(C61="","",IFERROR(INDEX(Productos!$A$5:$A$104,MATCH(C61,Productos!$B$5:$B$104,0)),""))</f>
        <v/>
      </c>
      <c r="E61" s="7" t="str">
        <f aca="false">IF(C61="","",IFERROR(INDEX(Productos!$C$5:$C$104,MATCH(C61,Productos!$B$5:$B$104,0)),""))</f>
        <v/>
      </c>
      <c r="F61" s="21"/>
      <c r="G61" s="11" t="str">
        <f aca="false">IF(C61="","",IFERROR(INDEX(Productos!$G$5:$G$104,MATCH(C61,Productos!$B$5:$B$104,0)),0))</f>
        <v/>
      </c>
      <c r="H61" s="26"/>
      <c r="I61" s="11" t="str">
        <f aca="false">IF(C61="","",F61*G61*(1-H61))</f>
        <v/>
      </c>
      <c r="J61" s="20"/>
      <c r="K61" s="20"/>
      <c r="L61" s="11" t="str">
        <f aca="false">IF(C61="","",F61*IFERROR(INDEX(Productos!$F$5:$F$104,MATCH(C61,Productos!$B$5:$B$104,0)),0))</f>
        <v/>
      </c>
      <c r="M61" s="11" t="str">
        <f aca="false">IF(C61="","",I61-L61)</f>
        <v/>
      </c>
    </row>
    <row r="62" customFormat="false" ht="15" hidden="false" customHeight="false" outlineLevel="0" collapsed="false">
      <c r="A62" s="25"/>
      <c r="B62" s="20"/>
      <c r="C62" s="20"/>
      <c r="D62" s="7" t="str">
        <f aca="false">IF(C62="","",IFERROR(INDEX(Productos!$A$5:$A$104,MATCH(C62,Productos!$B$5:$B$104,0)),""))</f>
        <v/>
      </c>
      <c r="E62" s="7" t="str">
        <f aca="false">IF(C62="","",IFERROR(INDEX(Productos!$C$5:$C$104,MATCH(C62,Productos!$B$5:$B$104,0)),""))</f>
        <v/>
      </c>
      <c r="F62" s="21"/>
      <c r="G62" s="11" t="str">
        <f aca="false">IF(C62="","",IFERROR(INDEX(Productos!$G$5:$G$104,MATCH(C62,Productos!$B$5:$B$104,0)),0))</f>
        <v/>
      </c>
      <c r="H62" s="26"/>
      <c r="I62" s="11" t="str">
        <f aca="false">IF(C62="","",F62*G62*(1-H62))</f>
        <v/>
      </c>
      <c r="J62" s="20"/>
      <c r="K62" s="20"/>
      <c r="L62" s="11" t="str">
        <f aca="false">IF(C62="","",F62*IFERROR(INDEX(Productos!$F$5:$F$104,MATCH(C62,Productos!$B$5:$B$104,0)),0))</f>
        <v/>
      </c>
      <c r="M62" s="11" t="str">
        <f aca="false">IF(C62="","",I62-L62)</f>
        <v/>
      </c>
    </row>
    <row r="63" customFormat="false" ht="15" hidden="false" customHeight="false" outlineLevel="0" collapsed="false">
      <c r="A63" s="25"/>
      <c r="B63" s="20"/>
      <c r="C63" s="20"/>
      <c r="D63" s="7" t="str">
        <f aca="false">IF(C63="","",IFERROR(INDEX(Productos!$A$5:$A$104,MATCH(C63,Productos!$B$5:$B$104,0)),""))</f>
        <v/>
      </c>
      <c r="E63" s="7" t="str">
        <f aca="false">IF(C63="","",IFERROR(INDEX(Productos!$C$5:$C$104,MATCH(C63,Productos!$B$5:$B$104,0)),""))</f>
        <v/>
      </c>
      <c r="F63" s="21"/>
      <c r="G63" s="11" t="str">
        <f aca="false">IF(C63="","",IFERROR(INDEX(Productos!$G$5:$G$104,MATCH(C63,Productos!$B$5:$B$104,0)),0))</f>
        <v/>
      </c>
      <c r="H63" s="26"/>
      <c r="I63" s="11" t="str">
        <f aca="false">IF(C63="","",F63*G63*(1-H63))</f>
        <v/>
      </c>
      <c r="J63" s="20"/>
      <c r="K63" s="20"/>
      <c r="L63" s="11" t="str">
        <f aca="false">IF(C63="","",F63*IFERROR(INDEX(Productos!$F$5:$F$104,MATCH(C63,Productos!$B$5:$B$104,0)),0))</f>
        <v/>
      </c>
      <c r="M63" s="11" t="str">
        <f aca="false">IF(C63="","",I63-L63)</f>
        <v/>
      </c>
    </row>
    <row r="64" customFormat="false" ht="15" hidden="false" customHeight="false" outlineLevel="0" collapsed="false">
      <c r="A64" s="25"/>
      <c r="B64" s="20"/>
      <c r="C64" s="20"/>
      <c r="D64" s="7" t="str">
        <f aca="false">IF(C64="","",IFERROR(INDEX(Productos!$A$5:$A$104,MATCH(C64,Productos!$B$5:$B$104,0)),""))</f>
        <v/>
      </c>
      <c r="E64" s="7" t="str">
        <f aca="false">IF(C64="","",IFERROR(INDEX(Productos!$C$5:$C$104,MATCH(C64,Productos!$B$5:$B$104,0)),""))</f>
        <v/>
      </c>
      <c r="F64" s="21"/>
      <c r="G64" s="11" t="str">
        <f aca="false">IF(C64="","",IFERROR(INDEX(Productos!$G$5:$G$104,MATCH(C64,Productos!$B$5:$B$104,0)),0))</f>
        <v/>
      </c>
      <c r="H64" s="26"/>
      <c r="I64" s="11" t="str">
        <f aca="false">IF(C64="","",F64*G64*(1-H64))</f>
        <v/>
      </c>
      <c r="J64" s="20"/>
      <c r="K64" s="20"/>
      <c r="L64" s="11" t="str">
        <f aca="false">IF(C64="","",F64*IFERROR(INDEX(Productos!$F$5:$F$104,MATCH(C64,Productos!$B$5:$B$104,0)),0))</f>
        <v/>
      </c>
      <c r="M64" s="11" t="str">
        <f aca="false">IF(C64="","",I64-L64)</f>
        <v/>
      </c>
    </row>
    <row r="65" customFormat="false" ht="15" hidden="false" customHeight="false" outlineLevel="0" collapsed="false">
      <c r="A65" s="25"/>
      <c r="B65" s="20"/>
      <c r="C65" s="20"/>
      <c r="D65" s="7" t="str">
        <f aca="false">IF(C65="","",IFERROR(INDEX(Productos!$A$5:$A$104,MATCH(C65,Productos!$B$5:$B$104,0)),""))</f>
        <v/>
      </c>
      <c r="E65" s="7" t="str">
        <f aca="false">IF(C65="","",IFERROR(INDEX(Productos!$C$5:$C$104,MATCH(C65,Productos!$B$5:$B$104,0)),""))</f>
        <v/>
      </c>
      <c r="F65" s="21"/>
      <c r="G65" s="11" t="str">
        <f aca="false">IF(C65="","",IFERROR(INDEX(Productos!$G$5:$G$104,MATCH(C65,Productos!$B$5:$B$104,0)),0))</f>
        <v/>
      </c>
      <c r="H65" s="26"/>
      <c r="I65" s="11" t="str">
        <f aca="false">IF(C65="","",F65*G65*(1-H65))</f>
        <v/>
      </c>
      <c r="J65" s="20"/>
      <c r="K65" s="20"/>
      <c r="L65" s="11" t="str">
        <f aca="false">IF(C65="","",F65*IFERROR(INDEX(Productos!$F$5:$F$104,MATCH(C65,Productos!$B$5:$B$104,0)),0))</f>
        <v/>
      </c>
      <c r="M65" s="11" t="str">
        <f aca="false">IF(C65="","",I65-L65)</f>
        <v/>
      </c>
    </row>
    <row r="66" customFormat="false" ht="15" hidden="false" customHeight="false" outlineLevel="0" collapsed="false">
      <c r="A66" s="25"/>
      <c r="B66" s="20"/>
      <c r="C66" s="20"/>
      <c r="D66" s="7" t="str">
        <f aca="false">IF(C66="","",IFERROR(INDEX(Productos!$A$5:$A$104,MATCH(C66,Productos!$B$5:$B$104,0)),""))</f>
        <v/>
      </c>
      <c r="E66" s="7" t="str">
        <f aca="false">IF(C66="","",IFERROR(INDEX(Productos!$C$5:$C$104,MATCH(C66,Productos!$B$5:$B$104,0)),""))</f>
        <v/>
      </c>
      <c r="F66" s="21"/>
      <c r="G66" s="11" t="str">
        <f aca="false">IF(C66="","",IFERROR(INDEX(Productos!$G$5:$G$104,MATCH(C66,Productos!$B$5:$B$104,0)),0))</f>
        <v/>
      </c>
      <c r="H66" s="26"/>
      <c r="I66" s="11" t="str">
        <f aca="false">IF(C66="","",F66*G66*(1-H66))</f>
        <v/>
      </c>
      <c r="J66" s="20"/>
      <c r="K66" s="20"/>
      <c r="L66" s="11" t="str">
        <f aca="false">IF(C66="","",F66*IFERROR(INDEX(Productos!$F$5:$F$104,MATCH(C66,Productos!$B$5:$B$104,0)),0))</f>
        <v/>
      </c>
      <c r="M66" s="11" t="str">
        <f aca="false">IF(C66="","",I66-L66)</f>
        <v/>
      </c>
    </row>
    <row r="67" customFormat="false" ht="15" hidden="false" customHeight="false" outlineLevel="0" collapsed="false">
      <c r="A67" s="25"/>
      <c r="B67" s="20"/>
      <c r="C67" s="20"/>
      <c r="D67" s="7" t="str">
        <f aca="false">IF(C67="","",IFERROR(INDEX(Productos!$A$5:$A$104,MATCH(C67,Productos!$B$5:$B$104,0)),""))</f>
        <v/>
      </c>
      <c r="E67" s="7" t="str">
        <f aca="false">IF(C67="","",IFERROR(INDEX(Productos!$C$5:$C$104,MATCH(C67,Productos!$B$5:$B$104,0)),""))</f>
        <v/>
      </c>
      <c r="F67" s="21"/>
      <c r="G67" s="11" t="str">
        <f aca="false">IF(C67="","",IFERROR(INDEX(Productos!$G$5:$G$104,MATCH(C67,Productos!$B$5:$B$104,0)),0))</f>
        <v/>
      </c>
      <c r="H67" s="26"/>
      <c r="I67" s="11" t="str">
        <f aca="false">IF(C67="","",F67*G67*(1-H67))</f>
        <v/>
      </c>
      <c r="J67" s="20"/>
      <c r="K67" s="20"/>
      <c r="L67" s="11" t="str">
        <f aca="false">IF(C67="","",F67*IFERROR(INDEX(Productos!$F$5:$F$104,MATCH(C67,Productos!$B$5:$B$104,0)),0))</f>
        <v/>
      </c>
      <c r="M67" s="11" t="str">
        <f aca="false">IF(C67="","",I67-L67)</f>
        <v/>
      </c>
    </row>
    <row r="68" customFormat="false" ht="15" hidden="false" customHeight="false" outlineLevel="0" collapsed="false">
      <c r="A68" s="25"/>
      <c r="B68" s="20"/>
      <c r="C68" s="20"/>
      <c r="D68" s="7" t="str">
        <f aca="false">IF(C68="","",IFERROR(INDEX(Productos!$A$5:$A$104,MATCH(C68,Productos!$B$5:$B$104,0)),""))</f>
        <v/>
      </c>
      <c r="E68" s="7" t="str">
        <f aca="false">IF(C68="","",IFERROR(INDEX(Productos!$C$5:$C$104,MATCH(C68,Productos!$B$5:$B$104,0)),""))</f>
        <v/>
      </c>
      <c r="F68" s="21"/>
      <c r="G68" s="11" t="str">
        <f aca="false">IF(C68="","",IFERROR(INDEX(Productos!$G$5:$G$104,MATCH(C68,Productos!$B$5:$B$104,0)),0))</f>
        <v/>
      </c>
      <c r="H68" s="26"/>
      <c r="I68" s="11" t="str">
        <f aca="false">IF(C68="","",F68*G68*(1-H68))</f>
        <v/>
      </c>
      <c r="J68" s="20"/>
      <c r="K68" s="20"/>
      <c r="L68" s="11" t="str">
        <f aca="false">IF(C68="","",F68*IFERROR(INDEX(Productos!$F$5:$F$104,MATCH(C68,Productos!$B$5:$B$104,0)),0))</f>
        <v/>
      </c>
      <c r="M68" s="11" t="str">
        <f aca="false">IF(C68="","",I68-L68)</f>
        <v/>
      </c>
    </row>
    <row r="69" customFormat="false" ht="15" hidden="false" customHeight="false" outlineLevel="0" collapsed="false">
      <c r="A69" s="25"/>
      <c r="B69" s="20"/>
      <c r="C69" s="20"/>
      <c r="D69" s="7" t="str">
        <f aca="false">IF(C69="","",IFERROR(INDEX(Productos!$A$5:$A$104,MATCH(C69,Productos!$B$5:$B$104,0)),""))</f>
        <v/>
      </c>
      <c r="E69" s="7" t="str">
        <f aca="false">IF(C69="","",IFERROR(INDEX(Productos!$C$5:$C$104,MATCH(C69,Productos!$B$5:$B$104,0)),""))</f>
        <v/>
      </c>
      <c r="F69" s="21"/>
      <c r="G69" s="11" t="str">
        <f aca="false">IF(C69="","",IFERROR(INDEX(Productos!$G$5:$G$104,MATCH(C69,Productos!$B$5:$B$104,0)),0))</f>
        <v/>
      </c>
      <c r="H69" s="26"/>
      <c r="I69" s="11" t="str">
        <f aca="false">IF(C69="","",F69*G69*(1-H69))</f>
        <v/>
      </c>
      <c r="J69" s="20"/>
      <c r="K69" s="20"/>
      <c r="L69" s="11" t="str">
        <f aca="false">IF(C69="","",F69*IFERROR(INDEX(Productos!$F$5:$F$104,MATCH(C69,Productos!$B$5:$B$104,0)),0))</f>
        <v/>
      </c>
      <c r="M69" s="11" t="str">
        <f aca="false">IF(C69="","",I69-L69)</f>
        <v/>
      </c>
    </row>
    <row r="70" customFormat="false" ht="15" hidden="false" customHeight="false" outlineLevel="0" collapsed="false">
      <c r="A70" s="25"/>
      <c r="B70" s="20"/>
      <c r="C70" s="20"/>
      <c r="D70" s="7" t="str">
        <f aca="false">IF(C70="","",IFERROR(INDEX(Productos!$A$5:$A$104,MATCH(C70,Productos!$B$5:$B$104,0)),""))</f>
        <v/>
      </c>
      <c r="E70" s="7" t="str">
        <f aca="false">IF(C70="","",IFERROR(INDEX(Productos!$C$5:$C$104,MATCH(C70,Productos!$B$5:$B$104,0)),""))</f>
        <v/>
      </c>
      <c r="F70" s="21"/>
      <c r="G70" s="11" t="str">
        <f aca="false">IF(C70="","",IFERROR(INDEX(Productos!$G$5:$G$104,MATCH(C70,Productos!$B$5:$B$104,0)),0))</f>
        <v/>
      </c>
      <c r="H70" s="26"/>
      <c r="I70" s="11" t="str">
        <f aca="false">IF(C70="","",F70*G70*(1-H70))</f>
        <v/>
      </c>
      <c r="J70" s="20"/>
      <c r="K70" s="20"/>
      <c r="L70" s="11" t="str">
        <f aca="false">IF(C70="","",F70*IFERROR(INDEX(Productos!$F$5:$F$104,MATCH(C70,Productos!$B$5:$B$104,0)),0))</f>
        <v/>
      </c>
      <c r="M70" s="11" t="str">
        <f aca="false">IF(C70="","",I70-L70)</f>
        <v/>
      </c>
    </row>
    <row r="71" customFormat="false" ht="15" hidden="false" customHeight="false" outlineLevel="0" collapsed="false">
      <c r="A71" s="25"/>
      <c r="B71" s="20"/>
      <c r="C71" s="20"/>
      <c r="D71" s="7" t="str">
        <f aca="false">IF(C71="","",IFERROR(INDEX(Productos!$A$5:$A$104,MATCH(C71,Productos!$B$5:$B$104,0)),""))</f>
        <v/>
      </c>
      <c r="E71" s="7" t="str">
        <f aca="false">IF(C71="","",IFERROR(INDEX(Productos!$C$5:$C$104,MATCH(C71,Productos!$B$5:$B$104,0)),""))</f>
        <v/>
      </c>
      <c r="F71" s="21"/>
      <c r="G71" s="11" t="str">
        <f aca="false">IF(C71="","",IFERROR(INDEX(Productos!$G$5:$G$104,MATCH(C71,Productos!$B$5:$B$104,0)),0))</f>
        <v/>
      </c>
      <c r="H71" s="26"/>
      <c r="I71" s="11" t="str">
        <f aca="false">IF(C71="","",F71*G71*(1-H71))</f>
        <v/>
      </c>
      <c r="J71" s="20"/>
      <c r="K71" s="20"/>
      <c r="L71" s="11" t="str">
        <f aca="false">IF(C71="","",F71*IFERROR(INDEX(Productos!$F$5:$F$104,MATCH(C71,Productos!$B$5:$B$104,0)),0))</f>
        <v/>
      </c>
      <c r="M71" s="11" t="str">
        <f aca="false">IF(C71="","",I71-L71)</f>
        <v/>
      </c>
    </row>
    <row r="72" customFormat="false" ht="15" hidden="false" customHeight="false" outlineLevel="0" collapsed="false">
      <c r="A72" s="25"/>
      <c r="B72" s="20"/>
      <c r="C72" s="20"/>
      <c r="D72" s="7" t="str">
        <f aca="false">IF(C72="","",IFERROR(INDEX(Productos!$A$5:$A$104,MATCH(C72,Productos!$B$5:$B$104,0)),""))</f>
        <v/>
      </c>
      <c r="E72" s="7" t="str">
        <f aca="false">IF(C72="","",IFERROR(INDEX(Productos!$C$5:$C$104,MATCH(C72,Productos!$B$5:$B$104,0)),""))</f>
        <v/>
      </c>
      <c r="F72" s="21"/>
      <c r="G72" s="11" t="str">
        <f aca="false">IF(C72="","",IFERROR(INDEX(Productos!$G$5:$G$104,MATCH(C72,Productos!$B$5:$B$104,0)),0))</f>
        <v/>
      </c>
      <c r="H72" s="26"/>
      <c r="I72" s="11" t="str">
        <f aca="false">IF(C72="","",F72*G72*(1-H72))</f>
        <v/>
      </c>
      <c r="J72" s="20"/>
      <c r="K72" s="20"/>
      <c r="L72" s="11" t="str">
        <f aca="false">IF(C72="","",F72*IFERROR(INDEX(Productos!$F$5:$F$104,MATCH(C72,Productos!$B$5:$B$104,0)),0))</f>
        <v/>
      </c>
      <c r="M72" s="11" t="str">
        <f aca="false">IF(C72="","",I72-L72)</f>
        <v/>
      </c>
    </row>
    <row r="73" customFormat="false" ht="15" hidden="false" customHeight="false" outlineLevel="0" collapsed="false">
      <c r="A73" s="25"/>
      <c r="B73" s="20"/>
      <c r="C73" s="20"/>
      <c r="D73" s="7" t="str">
        <f aca="false">IF(C73="","",IFERROR(INDEX(Productos!$A$5:$A$104,MATCH(C73,Productos!$B$5:$B$104,0)),""))</f>
        <v/>
      </c>
      <c r="E73" s="7" t="str">
        <f aca="false">IF(C73="","",IFERROR(INDEX(Productos!$C$5:$C$104,MATCH(C73,Productos!$B$5:$B$104,0)),""))</f>
        <v/>
      </c>
      <c r="F73" s="21"/>
      <c r="G73" s="11" t="str">
        <f aca="false">IF(C73="","",IFERROR(INDEX(Productos!$G$5:$G$104,MATCH(C73,Productos!$B$5:$B$104,0)),0))</f>
        <v/>
      </c>
      <c r="H73" s="26"/>
      <c r="I73" s="11" t="str">
        <f aca="false">IF(C73="","",F73*G73*(1-H73))</f>
        <v/>
      </c>
      <c r="J73" s="20"/>
      <c r="K73" s="20"/>
      <c r="L73" s="11" t="str">
        <f aca="false">IF(C73="","",F73*IFERROR(INDEX(Productos!$F$5:$F$104,MATCH(C73,Productos!$B$5:$B$104,0)),0))</f>
        <v/>
      </c>
      <c r="M73" s="11" t="str">
        <f aca="false">IF(C73="","",I73-L73)</f>
        <v/>
      </c>
    </row>
    <row r="74" customFormat="false" ht="15" hidden="false" customHeight="false" outlineLevel="0" collapsed="false">
      <c r="A74" s="25"/>
      <c r="B74" s="20"/>
      <c r="C74" s="20"/>
      <c r="D74" s="7" t="str">
        <f aca="false">IF(C74="","",IFERROR(INDEX(Productos!$A$5:$A$104,MATCH(C74,Productos!$B$5:$B$104,0)),""))</f>
        <v/>
      </c>
      <c r="E74" s="7" t="str">
        <f aca="false">IF(C74="","",IFERROR(INDEX(Productos!$C$5:$C$104,MATCH(C74,Productos!$B$5:$B$104,0)),""))</f>
        <v/>
      </c>
      <c r="F74" s="21"/>
      <c r="G74" s="11" t="str">
        <f aca="false">IF(C74="","",IFERROR(INDEX(Productos!$G$5:$G$104,MATCH(C74,Productos!$B$5:$B$104,0)),0))</f>
        <v/>
      </c>
      <c r="H74" s="26"/>
      <c r="I74" s="11" t="str">
        <f aca="false">IF(C74="","",F74*G74*(1-H74))</f>
        <v/>
      </c>
      <c r="J74" s="20"/>
      <c r="K74" s="20"/>
      <c r="L74" s="11" t="str">
        <f aca="false">IF(C74="","",F74*IFERROR(INDEX(Productos!$F$5:$F$104,MATCH(C74,Productos!$B$5:$B$104,0)),0))</f>
        <v/>
      </c>
      <c r="M74" s="11" t="str">
        <f aca="false">IF(C74="","",I74-L74)</f>
        <v/>
      </c>
    </row>
    <row r="75" customFormat="false" ht="15" hidden="false" customHeight="false" outlineLevel="0" collapsed="false">
      <c r="A75" s="25"/>
      <c r="B75" s="20"/>
      <c r="C75" s="20"/>
      <c r="D75" s="7" t="str">
        <f aca="false">IF(C75="","",IFERROR(INDEX(Productos!$A$5:$A$104,MATCH(C75,Productos!$B$5:$B$104,0)),""))</f>
        <v/>
      </c>
      <c r="E75" s="7" t="str">
        <f aca="false">IF(C75="","",IFERROR(INDEX(Productos!$C$5:$C$104,MATCH(C75,Productos!$B$5:$B$104,0)),""))</f>
        <v/>
      </c>
      <c r="F75" s="21"/>
      <c r="G75" s="11" t="str">
        <f aca="false">IF(C75="","",IFERROR(INDEX(Productos!$G$5:$G$104,MATCH(C75,Productos!$B$5:$B$104,0)),0))</f>
        <v/>
      </c>
      <c r="H75" s="26"/>
      <c r="I75" s="11" t="str">
        <f aca="false">IF(C75="","",F75*G75*(1-H75))</f>
        <v/>
      </c>
      <c r="J75" s="20"/>
      <c r="K75" s="20"/>
      <c r="L75" s="11" t="str">
        <f aca="false">IF(C75="","",F75*IFERROR(INDEX(Productos!$F$5:$F$104,MATCH(C75,Productos!$B$5:$B$104,0)),0))</f>
        <v/>
      </c>
      <c r="M75" s="11" t="str">
        <f aca="false">IF(C75="","",I75-L75)</f>
        <v/>
      </c>
    </row>
    <row r="76" customFormat="false" ht="15" hidden="false" customHeight="false" outlineLevel="0" collapsed="false">
      <c r="A76" s="25"/>
      <c r="B76" s="20"/>
      <c r="C76" s="20"/>
      <c r="D76" s="7" t="str">
        <f aca="false">IF(C76="","",IFERROR(INDEX(Productos!$A$5:$A$104,MATCH(C76,Productos!$B$5:$B$104,0)),""))</f>
        <v/>
      </c>
      <c r="E76" s="7" t="str">
        <f aca="false">IF(C76="","",IFERROR(INDEX(Productos!$C$5:$C$104,MATCH(C76,Productos!$B$5:$B$104,0)),""))</f>
        <v/>
      </c>
      <c r="F76" s="21"/>
      <c r="G76" s="11" t="str">
        <f aca="false">IF(C76="","",IFERROR(INDEX(Productos!$G$5:$G$104,MATCH(C76,Productos!$B$5:$B$104,0)),0))</f>
        <v/>
      </c>
      <c r="H76" s="26"/>
      <c r="I76" s="11" t="str">
        <f aca="false">IF(C76="","",F76*G76*(1-H76))</f>
        <v/>
      </c>
      <c r="J76" s="20"/>
      <c r="K76" s="20"/>
      <c r="L76" s="11" t="str">
        <f aca="false">IF(C76="","",F76*IFERROR(INDEX(Productos!$F$5:$F$104,MATCH(C76,Productos!$B$5:$B$104,0)),0))</f>
        <v/>
      </c>
      <c r="M76" s="11" t="str">
        <f aca="false">IF(C76="","",I76-L76)</f>
        <v/>
      </c>
    </row>
    <row r="77" customFormat="false" ht="15" hidden="false" customHeight="false" outlineLevel="0" collapsed="false">
      <c r="A77" s="25"/>
      <c r="B77" s="20"/>
      <c r="C77" s="20"/>
      <c r="D77" s="7" t="str">
        <f aca="false">IF(C77="","",IFERROR(INDEX(Productos!$A$5:$A$104,MATCH(C77,Productos!$B$5:$B$104,0)),""))</f>
        <v/>
      </c>
      <c r="E77" s="7" t="str">
        <f aca="false">IF(C77="","",IFERROR(INDEX(Productos!$C$5:$C$104,MATCH(C77,Productos!$B$5:$B$104,0)),""))</f>
        <v/>
      </c>
      <c r="F77" s="21"/>
      <c r="G77" s="11" t="str">
        <f aca="false">IF(C77="","",IFERROR(INDEX(Productos!$G$5:$G$104,MATCH(C77,Productos!$B$5:$B$104,0)),0))</f>
        <v/>
      </c>
      <c r="H77" s="26"/>
      <c r="I77" s="11" t="str">
        <f aca="false">IF(C77="","",F77*G77*(1-H77))</f>
        <v/>
      </c>
      <c r="J77" s="20"/>
      <c r="K77" s="20"/>
      <c r="L77" s="11" t="str">
        <f aca="false">IF(C77="","",F77*IFERROR(INDEX(Productos!$F$5:$F$104,MATCH(C77,Productos!$B$5:$B$104,0)),0))</f>
        <v/>
      </c>
      <c r="M77" s="11" t="str">
        <f aca="false">IF(C77="","",I77-L77)</f>
        <v/>
      </c>
    </row>
    <row r="78" customFormat="false" ht="15" hidden="false" customHeight="false" outlineLevel="0" collapsed="false">
      <c r="A78" s="25"/>
      <c r="B78" s="20"/>
      <c r="C78" s="20"/>
      <c r="D78" s="7" t="str">
        <f aca="false">IF(C78="","",IFERROR(INDEX(Productos!$A$5:$A$104,MATCH(C78,Productos!$B$5:$B$104,0)),""))</f>
        <v/>
      </c>
      <c r="E78" s="7" t="str">
        <f aca="false">IF(C78="","",IFERROR(INDEX(Productos!$C$5:$C$104,MATCH(C78,Productos!$B$5:$B$104,0)),""))</f>
        <v/>
      </c>
      <c r="F78" s="21"/>
      <c r="G78" s="11" t="str">
        <f aca="false">IF(C78="","",IFERROR(INDEX(Productos!$G$5:$G$104,MATCH(C78,Productos!$B$5:$B$104,0)),0))</f>
        <v/>
      </c>
      <c r="H78" s="26"/>
      <c r="I78" s="11" t="str">
        <f aca="false">IF(C78="","",F78*G78*(1-H78))</f>
        <v/>
      </c>
      <c r="J78" s="20"/>
      <c r="K78" s="20"/>
      <c r="L78" s="11" t="str">
        <f aca="false">IF(C78="","",F78*IFERROR(INDEX(Productos!$F$5:$F$104,MATCH(C78,Productos!$B$5:$B$104,0)),0))</f>
        <v/>
      </c>
      <c r="M78" s="11" t="str">
        <f aca="false">IF(C78="","",I78-L78)</f>
        <v/>
      </c>
    </row>
    <row r="79" customFormat="false" ht="15" hidden="false" customHeight="false" outlineLevel="0" collapsed="false">
      <c r="A79" s="25"/>
      <c r="B79" s="20"/>
      <c r="C79" s="20"/>
      <c r="D79" s="7" t="str">
        <f aca="false">IF(C79="","",IFERROR(INDEX(Productos!$A$5:$A$104,MATCH(C79,Productos!$B$5:$B$104,0)),""))</f>
        <v/>
      </c>
      <c r="E79" s="7" t="str">
        <f aca="false">IF(C79="","",IFERROR(INDEX(Productos!$C$5:$C$104,MATCH(C79,Productos!$B$5:$B$104,0)),""))</f>
        <v/>
      </c>
      <c r="F79" s="21"/>
      <c r="G79" s="11" t="str">
        <f aca="false">IF(C79="","",IFERROR(INDEX(Productos!$G$5:$G$104,MATCH(C79,Productos!$B$5:$B$104,0)),0))</f>
        <v/>
      </c>
      <c r="H79" s="26"/>
      <c r="I79" s="11" t="str">
        <f aca="false">IF(C79="","",F79*G79*(1-H79))</f>
        <v/>
      </c>
      <c r="J79" s="20"/>
      <c r="K79" s="20"/>
      <c r="L79" s="11" t="str">
        <f aca="false">IF(C79="","",F79*IFERROR(INDEX(Productos!$F$5:$F$104,MATCH(C79,Productos!$B$5:$B$104,0)),0))</f>
        <v/>
      </c>
      <c r="M79" s="11" t="str">
        <f aca="false">IF(C79="","",I79-L79)</f>
        <v/>
      </c>
    </row>
    <row r="80" customFormat="false" ht="15" hidden="false" customHeight="false" outlineLevel="0" collapsed="false">
      <c r="A80" s="25"/>
      <c r="B80" s="20"/>
      <c r="C80" s="20"/>
      <c r="D80" s="7" t="str">
        <f aca="false">IF(C80="","",IFERROR(INDEX(Productos!$A$5:$A$104,MATCH(C80,Productos!$B$5:$B$104,0)),""))</f>
        <v/>
      </c>
      <c r="E80" s="7" t="str">
        <f aca="false">IF(C80="","",IFERROR(INDEX(Productos!$C$5:$C$104,MATCH(C80,Productos!$B$5:$B$104,0)),""))</f>
        <v/>
      </c>
      <c r="F80" s="21"/>
      <c r="G80" s="11" t="str">
        <f aca="false">IF(C80="","",IFERROR(INDEX(Productos!$G$5:$G$104,MATCH(C80,Productos!$B$5:$B$104,0)),0))</f>
        <v/>
      </c>
      <c r="H80" s="26"/>
      <c r="I80" s="11" t="str">
        <f aca="false">IF(C80="","",F80*G80*(1-H80))</f>
        <v/>
      </c>
      <c r="J80" s="20"/>
      <c r="K80" s="20"/>
      <c r="L80" s="11" t="str">
        <f aca="false">IF(C80="","",F80*IFERROR(INDEX(Productos!$F$5:$F$104,MATCH(C80,Productos!$B$5:$B$104,0)),0))</f>
        <v/>
      </c>
      <c r="M80" s="11" t="str">
        <f aca="false">IF(C80="","",I80-L80)</f>
        <v/>
      </c>
    </row>
    <row r="81" customFormat="false" ht="15" hidden="false" customHeight="false" outlineLevel="0" collapsed="false">
      <c r="A81" s="25"/>
      <c r="B81" s="20"/>
      <c r="C81" s="20"/>
      <c r="D81" s="7" t="str">
        <f aca="false">IF(C81="","",IFERROR(INDEX(Productos!$A$5:$A$104,MATCH(C81,Productos!$B$5:$B$104,0)),""))</f>
        <v/>
      </c>
      <c r="E81" s="7" t="str">
        <f aca="false">IF(C81="","",IFERROR(INDEX(Productos!$C$5:$C$104,MATCH(C81,Productos!$B$5:$B$104,0)),""))</f>
        <v/>
      </c>
      <c r="F81" s="21"/>
      <c r="G81" s="11" t="str">
        <f aca="false">IF(C81="","",IFERROR(INDEX(Productos!$G$5:$G$104,MATCH(C81,Productos!$B$5:$B$104,0)),0))</f>
        <v/>
      </c>
      <c r="H81" s="26"/>
      <c r="I81" s="11" t="str">
        <f aca="false">IF(C81="","",F81*G81*(1-H81))</f>
        <v/>
      </c>
      <c r="J81" s="20"/>
      <c r="K81" s="20"/>
      <c r="L81" s="11" t="str">
        <f aca="false">IF(C81="","",F81*IFERROR(INDEX(Productos!$F$5:$F$104,MATCH(C81,Productos!$B$5:$B$104,0)),0))</f>
        <v/>
      </c>
      <c r="M81" s="11" t="str">
        <f aca="false">IF(C81="","",I81-L81)</f>
        <v/>
      </c>
    </row>
    <row r="82" customFormat="false" ht="15" hidden="false" customHeight="false" outlineLevel="0" collapsed="false">
      <c r="A82" s="25"/>
      <c r="B82" s="20"/>
      <c r="C82" s="20"/>
      <c r="D82" s="7" t="str">
        <f aca="false">IF(C82="","",IFERROR(INDEX(Productos!$A$5:$A$104,MATCH(C82,Productos!$B$5:$B$104,0)),""))</f>
        <v/>
      </c>
      <c r="E82" s="7" t="str">
        <f aca="false">IF(C82="","",IFERROR(INDEX(Productos!$C$5:$C$104,MATCH(C82,Productos!$B$5:$B$104,0)),""))</f>
        <v/>
      </c>
      <c r="F82" s="21"/>
      <c r="G82" s="11" t="str">
        <f aca="false">IF(C82="","",IFERROR(INDEX(Productos!$G$5:$G$104,MATCH(C82,Productos!$B$5:$B$104,0)),0))</f>
        <v/>
      </c>
      <c r="H82" s="26"/>
      <c r="I82" s="11" t="str">
        <f aca="false">IF(C82="","",F82*G82*(1-H82))</f>
        <v/>
      </c>
      <c r="J82" s="20"/>
      <c r="K82" s="20"/>
      <c r="L82" s="11" t="str">
        <f aca="false">IF(C82="","",F82*IFERROR(INDEX(Productos!$F$5:$F$104,MATCH(C82,Productos!$B$5:$B$104,0)),0))</f>
        <v/>
      </c>
      <c r="M82" s="11" t="str">
        <f aca="false">IF(C82="","",I82-L82)</f>
        <v/>
      </c>
    </row>
    <row r="83" customFormat="false" ht="15" hidden="false" customHeight="false" outlineLevel="0" collapsed="false">
      <c r="A83" s="25"/>
      <c r="B83" s="20"/>
      <c r="C83" s="20"/>
      <c r="D83" s="7" t="str">
        <f aca="false">IF(C83="","",IFERROR(INDEX(Productos!$A$5:$A$104,MATCH(C83,Productos!$B$5:$B$104,0)),""))</f>
        <v/>
      </c>
      <c r="E83" s="7" t="str">
        <f aca="false">IF(C83="","",IFERROR(INDEX(Productos!$C$5:$C$104,MATCH(C83,Productos!$B$5:$B$104,0)),""))</f>
        <v/>
      </c>
      <c r="F83" s="21"/>
      <c r="G83" s="11" t="str">
        <f aca="false">IF(C83="","",IFERROR(INDEX(Productos!$G$5:$G$104,MATCH(C83,Productos!$B$5:$B$104,0)),0))</f>
        <v/>
      </c>
      <c r="H83" s="26"/>
      <c r="I83" s="11" t="str">
        <f aca="false">IF(C83="","",F83*G83*(1-H83))</f>
        <v/>
      </c>
      <c r="J83" s="20"/>
      <c r="K83" s="20"/>
      <c r="L83" s="11" t="str">
        <f aca="false">IF(C83="","",F83*IFERROR(INDEX(Productos!$F$5:$F$104,MATCH(C83,Productos!$B$5:$B$104,0)),0))</f>
        <v/>
      </c>
      <c r="M83" s="11" t="str">
        <f aca="false">IF(C83="","",I83-L83)</f>
        <v/>
      </c>
    </row>
    <row r="84" customFormat="false" ht="15" hidden="false" customHeight="false" outlineLevel="0" collapsed="false">
      <c r="A84" s="25"/>
      <c r="B84" s="20"/>
      <c r="C84" s="20"/>
      <c r="D84" s="7" t="str">
        <f aca="false">IF(C84="","",IFERROR(INDEX(Productos!$A$5:$A$104,MATCH(C84,Productos!$B$5:$B$104,0)),""))</f>
        <v/>
      </c>
      <c r="E84" s="7" t="str">
        <f aca="false">IF(C84="","",IFERROR(INDEX(Productos!$C$5:$C$104,MATCH(C84,Productos!$B$5:$B$104,0)),""))</f>
        <v/>
      </c>
      <c r="F84" s="21"/>
      <c r="G84" s="11" t="str">
        <f aca="false">IF(C84="","",IFERROR(INDEX(Productos!$G$5:$G$104,MATCH(C84,Productos!$B$5:$B$104,0)),0))</f>
        <v/>
      </c>
      <c r="H84" s="26"/>
      <c r="I84" s="11" t="str">
        <f aca="false">IF(C84="","",F84*G84*(1-H84))</f>
        <v/>
      </c>
      <c r="J84" s="20"/>
      <c r="K84" s="20"/>
      <c r="L84" s="11" t="str">
        <f aca="false">IF(C84="","",F84*IFERROR(INDEX(Productos!$F$5:$F$104,MATCH(C84,Productos!$B$5:$B$104,0)),0))</f>
        <v/>
      </c>
      <c r="M84" s="11" t="str">
        <f aca="false">IF(C84="","",I84-L84)</f>
        <v/>
      </c>
    </row>
    <row r="85" customFormat="false" ht="15" hidden="false" customHeight="false" outlineLevel="0" collapsed="false">
      <c r="A85" s="25"/>
      <c r="B85" s="20"/>
      <c r="C85" s="20"/>
      <c r="D85" s="7" t="str">
        <f aca="false">IF(C85="","",IFERROR(INDEX(Productos!$A$5:$A$104,MATCH(C85,Productos!$B$5:$B$104,0)),""))</f>
        <v/>
      </c>
      <c r="E85" s="7" t="str">
        <f aca="false">IF(C85="","",IFERROR(INDEX(Productos!$C$5:$C$104,MATCH(C85,Productos!$B$5:$B$104,0)),""))</f>
        <v/>
      </c>
      <c r="F85" s="21"/>
      <c r="G85" s="11" t="str">
        <f aca="false">IF(C85="","",IFERROR(INDEX(Productos!$G$5:$G$104,MATCH(C85,Productos!$B$5:$B$104,0)),0))</f>
        <v/>
      </c>
      <c r="H85" s="26"/>
      <c r="I85" s="11" t="str">
        <f aca="false">IF(C85="","",F85*G85*(1-H85))</f>
        <v/>
      </c>
      <c r="J85" s="20"/>
      <c r="K85" s="20"/>
      <c r="L85" s="11" t="str">
        <f aca="false">IF(C85="","",F85*IFERROR(INDEX(Productos!$F$5:$F$104,MATCH(C85,Productos!$B$5:$B$104,0)),0))</f>
        <v/>
      </c>
      <c r="M85" s="11" t="str">
        <f aca="false">IF(C85="","",I85-L85)</f>
        <v/>
      </c>
    </row>
    <row r="86" customFormat="false" ht="15" hidden="false" customHeight="false" outlineLevel="0" collapsed="false">
      <c r="A86" s="25"/>
      <c r="B86" s="20"/>
      <c r="C86" s="20"/>
      <c r="D86" s="7" t="str">
        <f aca="false">IF(C86="","",IFERROR(INDEX(Productos!$A$5:$A$104,MATCH(C86,Productos!$B$5:$B$104,0)),""))</f>
        <v/>
      </c>
      <c r="E86" s="7" t="str">
        <f aca="false">IF(C86="","",IFERROR(INDEX(Productos!$C$5:$C$104,MATCH(C86,Productos!$B$5:$B$104,0)),""))</f>
        <v/>
      </c>
      <c r="F86" s="21"/>
      <c r="G86" s="11" t="str">
        <f aca="false">IF(C86="","",IFERROR(INDEX(Productos!$G$5:$G$104,MATCH(C86,Productos!$B$5:$B$104,0)),0))</f>
        <v/>
      </c>
      <c r="H86" s="26"/>
      <c r="I86" s="11" t="str">
        <f aca="false">IF(C86="","",F86*G86*(1-H86))</f>
        <v/>
      </c>
      <c r="J86" s="20"/>
      <c r="K86" s="20"/>
      <c r="L86" s="11" t="str">
        <f aca="false">IF(C86="","",F86*IFERROR(INDEX(Productos!$F$5:$F$104,MATCH(C86,Productos!$B$5:$B$104,0)),0))</f>
        <v/>
      </c>
      <c r="M86" s="11" t="str">
        <f aca="false">IF(C86="","",I86-L86)</f>
        <v/>
      </c>
    </row>
    <row r="87" customFormat="false" ht="15" hidden="false" customHeight="false" outlineLevel="0" collapsed="false">
      <c r="A87" s="25"/>
      <c r="B87" s="20"/>
      <c r="C87" s="20"/>
      <c r="D87" s="7" t="str">
        <f aca="false">IF(C87="","",IFERROR(INDEX(Productos!$A$5:$A$104,MATCH(C87,Productos!$B$5:$B$104,0)),""))</f>
        <v/>
      </c>
      <c r="E87" s="7" t="str">
        <f aca="false">IF(C87="","",IFERROR(INDEX(Productos!$C$5:$C$104,MATCH(C87,Productos!$B$5:$B$104,0)),""))</f>
        <v/>
      </c>
      <c r="F87" s="21"/>
      <c r="G87" s="11" t="str">
        <f aca="false">IF(C87="","",IFERROR(INDEX(Productos!$G$5:$G$104,MATCH(C87,Productos!$B$5:$B$104,0)),0))</f>
        <v/>
      </c>
      <c r="H87" s="26"/>
      <c r="I87" s="11" t="str">
        <f aca="false">IF(C87="","",F87*G87*(1-H87))</f>
        <v/>
      </c>
      <c r="J87" s="20"/>
      <c r="K87" s="20"/>
      <c r="L87" s="11" t="str">
        <f aca="false">IF(C87="","",F87*IFERROR(INDEX(Productos!$F$5:$F$104,MATCH(C87,Productos!$B$5:$B$104,0)),0))</f>
        <v/>
      </c>
      <c r="M87" s="11" t="str">
        <f aca="false">IF(C87="","",I87-L87)</f>
        <v/>
      </c>
    </row>
    <row r="88" customFormat="false" ht="15" hidden="false" customHeight="false" outlineLevel="0" collapsed="false">
      <c r="A88" s="25"/>
      <c r="B88" s="20"/>
      <c r="C88" s="20"/>
      <c r="D88" s="7" t="str">
        <f aca="false">IF(C88="","",IFERROR(INDEX(Productos!$A$5:$A$104,MATCH(C88,Productos!$B$5:$B$104,0)),""))</f>
        <v/>
      </c>
      <c r="E88" s="7" t="str">
        <f aca="false">IF(C88="","",IFERROR(INDEX(Productos!$C$5:$C$104,MATCH(C88,Productos!$B$5:$B$104,0)),""))</f>
        <v/>
      </c>
      <c r="F88" s="21"/>
      <c r="G88" s="11" t="str">
        <f aca="false">IF(C88="","",IFERROR(INDEX(Productos!$G$5:$G$104,MATCH(C88,Productos!$B$5:$B$104,0)),0))</f>
        <v/>
      </c>
      <c r="H88" s="26"/>
      <c r="I88" s="11" t="str">
        <f aca="false">IF(C88="","",F88*G88*(1-H88))</f>
        <v/>
      </c>
      <c r="J88" s="20"/>
      <c r="K88" s="20"/>
      <c r="L88" s="11" t="str">
        <f aca="false">IF(C88="","",F88*IFERROR(INDEX(Productos!$F$5:$F$104,MATCH(C88,Productos!$B$5:$B$104,0)),0))</f>
        <v/>
      </c>
      <c r="M88" s="11" t="str">
        <f aca="false">IF(C88="","",I88-L88)</f>
        <v/>
      </c>
    </row>
    <row r="89" customFormat="false" ht="15" hidden="false" customHeight="false" outlineLevel="0" collapsed="false">
      <c r="A89" s="25"/>
      <c r="B89" s="20"/>
      <c r="C89" s="20"/>
      <c r="D89" s="7" t="str">
        <f aca="false">IF(C89="","",IFERROR(INDEX(Productos!$A$5:$A$104,MATCH(C89,Productos!$B$5:$B$104,0)),""))</f>
        <v/>
      </c>
      <c r="E89" s="7" t="str">
        <f aca="false">IF(C89="","",IFERROR(INDEX(Productos!$C$5:$C$104,MATCH(C89,Productos!$B$5:$B$104,0)),""))</f>
        <v/>
      </c>
      <c r="F89" s="21"/>
      <c r="G89" s="11" t="str">
        <f aca="false">IF(C89="","",IFERROR(INDEX(Productos!$G$5:$G$104,MATCH(C89,Productos!$B$5:$B$104,0)),0))</f>
        <v/>
      </c>
      <c r="H89" s="26"/>
      <c r="I89" s="11" t="str">
        <f aca="false">IF(C89="","",F89*G89*(1-H89))</f>
        <v/>
      </c>
      <c r="J89" s="20"/>
      <c r="K89" s="20"/>
      <c r="L89" s="11" t="str">
        <f aca="false">IF(C89="","",F89*IFERROR(INDEX(Productos!$F$5:$F$104,MATCH(C89,Productos!$B$5:$B$104,0)),0))</f>
        <v/>
      </c>
      <c r="M89" s="11" t="str">
        <f aca="false">IF(C89="","",I89-L89)</f>
        <v/>
      </c>
    </row>
    <row r="90" customFormat="false" ht="15" hidden="false" customHeight="false" outlineLevel="0" collapsed="false">
      <c r="A90" s="25"/>
      <c r="B90" s="20"/>
      <c r="C90" s="20"/>
      <c r="D90" s="7" t="str">
        <f aca="false">IF(C90="","",IFERROR(INDEX(Productos!$A$5:$A$104,MATCH(C90,Productos!$B$5:$B$104,0)),""))</f>
        <v/>
      </c>
      <c r="E90" s="7" t="str">
        <f aca="false">IF(C90="","",IFERROR(INDEX(Productos!$C$5:$C$104,MATCH(C90,Productos!$B$5:$B$104,0)),""))</f>
        <v/>
      </c>
      <c r="F90" s="21"/>
      <c r="G90" s="11" t="str">
        <f aca="false">IF(C90="","",IFERROR(INDEX(Productos!$G$5:$G$104,MATCH(C90,Productos!$B$5:$B$104,0)),0))</f>
        <v/>
      </c>
      <c r="H90" s="26"/>
      <c r="I90" s="11" t="str">
        <f aca="false">IF(C90="","",F90*G90*(1-H90))</f>
        <v/>
      </c>
      <c r="J90" s="20"/>
      <c r="K90" s="20"/>
      <c r="L90" s="11" t="str">
        <f aca="false">IF(C90="","",F90*IFERROR(INDEX(Productos!$F$5:$F$104,MATCH(C90,Productos!$B$5:$B$104,0)),0))</f>
        <v/>
      </c>
      <c r="M90" s="11" t="str">
        <f aca="false">IF(C90="","",I90-L90)</f>
        <v/>
      </c>
    </row>
    <row r="91" customFormat="false" ht="15" hidden="false" customHeight="false" outlineLevel="0" collapsed="false">
      <c r="A91" s="25"/>
      <c r="B91" s="20"/>
      <c r="C91" s="20"/>
      <c r="D91" s="7" t="str">
        <f aca="false">IF(C91="","",IFERROR(INDEX(Productos!$A$5:$A$104,MATCH(C91,Productos!$B$5:$B$104,0)),""))</f>
        <v/>
      </c>
      <c r="E91" s="7" t="str">
        <f aca="false">IF(C91="","",IFERROR(INDEX(Productos!$C$5:$C$104,MATCH(C91,Productos!$B$5:$B$104,0)),""))</f>
        <v/>
      </c>
      <c r="F91" s="21"/>
      <c r="G91" s="11" t="str">
        <f aca="false">IF(C91="","",IFERROR(INDEX(Productos!$G$5:$G$104,MATCH(C91,Productos!$B$5:$B$104,0)),0))</f>
        <v/>
      </c>
      <c r="H91" s="26"/>
      <c r="I91" s="11" t="str">
        <f aca="false">IF(C91="","",F91*G91*(1-H91))</f>
        <v/>
      </c>
      <c r="J91" s="20"/>
      <c r="K91" s="20"/>
      <c r="L91" s="11" t="str">
        <f aca="false">IF(C91="","",F91*IFERROR(INDEX(Productos!$F$5:$F$104,MATCH(C91,Productos!$B$5:$B$104,0)),0))</f>
        <v/>
      </c>
      <c r="M91" s="11" t="str">
        <f aca="false">IF(C91="","",I91-L91)</f>
        <v/>
      </c>
    </row>
    <row r="92" customFormat="false" ht="15" hidden="false" customHeight="false" outlineLevel="0" collapsed="false">
      <c r="A92" s="25"/>
      <c r="B92" s="20"/>
      <c r="C92" s="20"/>
      <c r="D92" s="7" t="str">
        <f aca="false">IF(C92="","",IFERROR(INDEX(Productos!$A$5:$A$104,MATCH(C92,Productos!$B$5:$B$104,0)),""))</f>
        <v/>
      </c>
      <c r="E92" s="7" t="str">
        <f aca="false">IF(C92="","",IFERROR(INDEX(Productos!$C$5:$C$104,MATCH(C92,Productos!$B$5:$B$104,0)),""))</f>
        <v/>
      </c>
      <c r="F92" s="21"/>
      <c r="G92" s="11" t="str">
        <f aca="false">IF(C92="","",IFERROR(INDEX(Productos!$G$5:$G$104,MATCH(C92,Productos!$B$5:$B$104,0)),0))</f>
        <v/>
      </c>
      <c r="H92" s="26"/>
      <c r="I92" s="11" t="str">
        <f aca="false">IF(C92="","",F92*G92*(1-H92))</f>
        <v/>
      </c>
      <c r="J92" s="20"/>
      <c r="K92" s="20"/>
      <c r="L92" s="11" t="str">
        <f aca="false">IF(C92="","",F92*IFERROR(INDEX(Productos!$F$5:$F$104,MATCH(C92,Productos!$B$5:$B$104,0)),0))</f>
        <v/>
      </c>
      <c r="M92" s="11" t="str">
        <f aca="false">IF(C92="","",I92-L92)</f>
        <v/>
      </c>
    </row>
    <row r="93" customFormat="false" ht="15" hidden="false" customHeight="false" outlineLevel="0" collapsed="false">
      <c r="A93" s="25"/>
      <c r="B93" s="20"/>
      <c r="C93" s="20"/>
      <c r="D93" s="7" t="str">
        <f aca="false">IF(C93="","",IFERROR(INDEX(Productos!$A$5:$A$104,MATCH(C93,Productos!$B$5:$B$104,0)),""))</f>
        <v/>
      </c>
      <c r="E93" s="7" t="str">
        <f aca="false">IF(C93="","",IFERROR(INDEX(Productos!$C$5:$C$104,MATCH(C93,Productos!$B$5:$B$104,0)),""))</f>
        <v/>
      </c>
      <c r="F93" s="21"/>
      <c r="G93" s="11" t="str">
        <f aca="false">IF(C93="","",IFERROR(INDEX(Productos!$G$5:$G$104,MATCH(C93,Productos!$B$5:$B$104,0)),0))</f>
        <v/>
      </c>
      <c r="H93" s="26"/>
      <c r="I93" s="11" t="str">
        <f aca="false">IF(C93="","",F93*G93*(1-H93))</f>
        <v/>
      </c>
      <c r="J93" s="20"/>
      <c r="K93" s="20"/>
      <c r="L93" s="11" t="str">
        <f aca="false">IF(C93="","",F93*IFERROR(INDEX(Productos!$F$5:$F$104,MATCH(C93,Productos!$B$5:$B$104,0)),0))</f>
        <v/>
      </c>
      <c r="M93" s="11" t="str">
        <f aca="false">IF(C93="","",I93-L93)</f>
        <v/>
      </c>
    </row>
    <row r="94" customFormat="false" ht="15" hidden="false" customHeight="false" outlineLevel="0" collapsed="false">
      <c r="A94" s="25"/>
      <c r="B94" s="20"/>
      <c r="C94" s="20"/>
      <c r="D94" s="7" t="str">
        <f aca="false">IF(C94="","",IFERROR(INDEX(Productos!$A$5:$A$104,MATCH(C94,Productos!$B$5:$B$104,0)),""))</f>
        <v/>
      </c>
      <c r="E94" s="7" t="str">
        <f aca="false">IF(C94="","",IFERROR(INDEX(Productos!$C$5:$C$104,MATCH(C94,Productos!$B$5:$B$104,0)),""))</f>
        <v/>
      </c>
      <c r="F94" s="21"/>
      <c r="G94" s="11" t="str">
        <f aca="false">IF(C94="","",IFERROR(INDEX(Productos!$G$5:$G$104,MATCH(C94,Productos!$B$5:$B$104,0)),0))</f>
        <v/>
      </c>
      <c r="H94" s="26"/>
      <c r="I94" s="11" t="str">
        <f aca="false">IF(C94="","",F94*G94*(1-H94))</f>
        <v/>
      </c>
      <c r="J94" s="20"/>
      <c r="K94" s="20"/>
      <c r="L94" s="11" t="str">
        <f aca="false">IF(C94="","",F94*IFERROR(INDEX(Productos!$F$5:$F$104,MATCH(C94,Productos!$B$5:$B$104,0)),0))</f>
        <v/>
      </c>
      <c r="M94" s="11" t="str">
        <f aca="false">IF(C94="","",I94-L94)</f>
        <v/>
      </c>
    </row>
    <row r="95" customFormat="false" ht="15" hidden="false" customHeight="false" outlineLevel="0" collapsed="false">
      <c r="A95" s="25"/>
      <c r="B95" s="20"/>
      <c r="C95" s="20"/>
      <c r="D95" s="7" t="str">
        <f aca="false">IF(C95="","",IFERROR(INDEX(Productos!$A$5:$A$104,MATCH(C95,Productos!$B$5:$B$104,0)),""))</f>
        <v/>
      </c>
      <c r="E95" s="7" t="str">
        <f aca="false">IF(C95="","",IFERROR(INDEX(Productos!$C$5:$C$104,MATCH(C95,Productos!$B$5:$B$104,0)),""))</f>
        <v/>
      </c>
      <c r="F95" s="21"/>
      <c r="G95" s="11" t="str">
        <f aca="false">IF(C95="","",IFERROR(INDEX(Productos!$G$5:$G$104,MATCH(C95,Productos!$B$5:$B$104,0)),0))</f>
        <v/>
      </c>
      <c r="H95" s="26"/>
      <c r="I95" s="11" t="str">
        <f aca="false">IF(C95="","",F95*G95*(1-H95))</f>
        <v/>
      </c>
      <c r="J95" s="20"/>
      <c r="K95" s="20"/>
      <c r="L95" s="11" t="str">
        <f aca="false">IF(C95="","",F95*IFERROR(INDEX(Productos!$F$5:$F$104,MATCH(C95,Productos!$B$5:$B$104,0)),0))</f>
        <v/>
      </c>
      <c r="M95" s="11" t="str">
        <f aca="false">IF(C95="","",I95-L95)</f>
        <v/>
      </c>
    </row>
    <row r="96" customFormat="false" ht="15" hidden="false" customHeight="false" outlineLevel="0" collapsed="false">
      <c r="A96" s="25"/>
      <c r="B96" s="20"/>
      <c r="C96" s="20"/>
      <c r="D96" s="7" t="str">
        <f aca="false">IF(C96="","",IFERROR(INDEX(Productos!$A$5:$A$104,MATCH(C96,Productos!$B$5:$B$104,0)),""))</f>
        <v/>
      </c>
      <c r="E96" s="7" t="str">
        <f aca="false">IF(C96="","",IFERROR(INDEX(Productos!$C$5:$C$104,MATCH(C96,Productos!$B$5:$B$104,0)),""))</f>
        <v/>
      </c>
      <c r="F96" s="21"/>
      <c r="G96" s="11" t="str">
        <f aca="false">IF(C96="","",IFERROR(INDEX(Productos!$G$5:$G$104,MATCH(C96,Productos!$B$5:$B$104,0)),0))</f>
        <v/>
      </c>
      <c r="H96" s="26"/>
      <c r="I96" s="11" t="str">
        <f aca="false">IF(C96="","",F96*G96*(1-H96))</f>
        <v/>
      </c>
      <c r="J96" s="20"/>
      <c r="K96" s="20"/>
      <c r="L96" s="11" t="str">
        <f aca="false">IF(C96="","",F96*IFERROR(INDEX(Productos!$F$5:$F$104,MATCH(C96,Productos!$B$5:$B$104,0)),0))</f>
        <v/>
      </c>
      <c r="M96" s="11" t="str">
        <f aca="false">IF(C96="","",I96-L96)</f>
        <v/>
      </c>
    </row>
    <row r="97" customFormat="false" ht="15" hidden="false" customHeight="false" outlineLevel="0" collapsed="false">
      <c r="A97" s="25"/>
      <c r="B97" s="20"/>
      <c r="C97" s="20"/>
      <c r="D97" s="7" t="str">
        <f aca="false">IF(C97="","",IFERROR(INDEX(Productos!$A$5:$A$104,MATCH(C97,Productos!$B$5:$B$104,0)),""))</f>
        <v/>
      </c>
      <c r="E97" s="7" t="str">
        <f aca="false">IF(C97="","",IFERROR(INDEX(Productos!$C$5:$C$104,MATCH(C97,Productos!$B$5:$B$104,0)),""))</f>
        <v/>
      </c>
      <c r="F97" s="21"/>
      <c r="G97" s="11" t="str">
        <f aca="false">IF(C97="","",IFERROR(INDEX(Productos!$G$5:$G$104,MATCH(C97,Productos!$B$5:$B$104,0)),0))</f>
        <v/>
      </c>
      <c r="H97" s="26"/>
      <c r="I97" s="11" t="str">
        <f aca="false">IF(C97="","",F97*G97*(1-H97))</f>
        <v/>
      </c>
      <c r="J97" s="20"/>
      <c r="K97" s="20"/>
      <c r="L97" s="11" t="str">
        <f aca="false">IF(C97="","",F97*IFERROR(INDEX(Productos!$F$5:$F$104,MATCH(C97,Productos!$B$5:$B$104,0)),0))</f>
        <v/>
      </c>
      <c r="M97" s="11" t="str">
        <f aca="false">IF(C97="","",I97-L97)</f>
        <v/>
      </c>
    </row>
    <row r="98" customFormat="false" ht="15" hidden="false" customHeight="false" outlineLevel="0" collapsed="false">
      <c r="A98" s="25"/>
      <c r="B98" s="20"/>
      <c r="C98" s="20"/>
      <c r="D98" s="7" t="str">
        <f aca="false">IF(C98="","",IFERROR(INDEX(Productos!$A$5:$A$104,MATCH(C98,Productos!$B$5:$B$104,0)),""))</f>
        <v/>
      </c>
      <c r="E98" s="7" t="str">
        <f aca="false">IF(C98="","",IFERROR(INDEX(Productos!$C$5:$C$104,MATCH(C98,Productos!$B$5:$B$104,0)),""))</f>
        <v/>
      </c>
      <c r="F98" s="21"/>
      <c r="G98" s="11" t="str">
        <f aca="false">IF(C98="","",IFERROR(INDEX(Productos!$G$5:$G$104,MATCH(C98,Productos!$B$5:$B$104,0)),0))</f>
        <v/>
      </c>
      <c r="H98" s="26"/>
      <c r="I98" s="11" t="str">
        <f aca="false">IF(C98="","",F98*G98*(1-H98))</f>
        <v/>
      </c>
      <c r="J98" s="20"/>
      <c r="K98" s="20"/>
      <c r="L98" s="11" t="str">
        <f aca="false">IF(C98="","",F98*IFERROR(INDEX(Productos!$F$5:$F$104,MATCH(C98,Productos!$B$5:$B$104,0)),0))</f>
        <v/>
      </c>
      <c r="M98" s="11" t="str">
        <f aca="false">IF(C98="","",I98-L98)</f>
        <v/>
      </c>
    </row>
    <row r="99" customFormat="false" ht="15" hidden="false" customHeight="false" outlineLevel="0" collapsed="false">
      <c r="A99" s="25"/>
      <c r="B99" s="20"/>
      <c r="C99" s="20"/>
      <c r="D99" s="7" t="str">
        <f aca="false">IF(C99="","",IFERROR(INDEX(Productos!$A$5:$A$104,MATCH(C99,Productos!$B$5:$B$104,0)),""))</f>
        <v/>
      </c>
      <c r="E99" s="7" t="str">
        <f aca="false">IF(C99="","",IFERROR(INDEX(Productos!$C$5:$C$104,MATCH(C99,Productos!$B$5:$B$104,0)),""))</f>
        <v/>
      </c>
      <c r="F99" s="21"/>
      <c r="G99" s="11" t="str">
        <f aca="false">IF(C99="","",IFERROR(INDEX(Productos!$G$5:$G$104,MATCH(C99,Productos!$B$5:$B$104,0)),0))</f>
        <v/>
      </c>
      <c r="H99" s="26"/>
      <c r="I99" s="11" t="str">
        <f aca="false">IF(C99="","",F99*G99*(1-H99))</f>
        <v/>
      </c>
      <c r="J99" s="20"/>
      <c r="K99" s="20"/>
      <c r="L99" s="11" t="str">
        <f aca="false">IF(C99="","",F99*IFERROR(INDEX(Productos!$F$5:$F$104,MATCH(C99,Productos!$B$5:$B$104,0)),0))</f>
        <v/>
      </c>
      <c r="M99" s="11" t="str">
        <f aca="false">IF(C99="","",I99-L99)</f>
        <v/>
      </c>
    </row>
    <row r="100" customFormat="false" ht="15" hidden="false" customHeight="false" outlineLevel="0" collapsed="false">
      <c r="A100" s="25"/>
      <c r="B100" s="20"/>
      <c r="C100" s="20"/>
      <c r="D100" s="7" t="str">
        <f aca="false">IF(C100="","",IFERROR(INDEX(Productos!$A$5:$A$104,MATCH(C100,Productos!$B$5:$B$104,0)),""))</f>
        <v/>
      </c>
      <c r="E100" s="7" t="str">
        <f aca="false">IF(C100="","",IFERROR(INDEX(Productos!$C$5:$C$104,MATCH(C100,Productos!$B$5:$B$104,0)),""))</f>
        <v/>
      </c>
      <c r="F100" s="21"/>
      <c r="G100" s="11" t="str">
        <f aca="false">IF(C100="","",IFERROR(INDEX(Productos!$G$5:$G$104,MATCH(C100,Productos!$B$5:$B$104,0)),0))</f>
        <v/>
      </c>
      <c r="H100" s="26"/>
      <c r="I100" s="11" t="str">
        <f aca="false">IF(C100="","",F100*G100*(1-H100))</f>
        <v/>
      </c>
      <c r="J100" s="20"/>
      <c r="K100" s="20"/>
      <c r="L100" s="11" t="str">
        <f aca="false">IF(C100="","",F100*IFERROR(INDEX(Productos!$F$5:$F$104,MATCH(C100,Productos!$B$5:$B$104,0)),0))</f>
        <v/>
      </c>
      <c r="M100" s="11" t="str">
        <f aca="false">IF(C100="","",I100-L100)</f>
        <v/>
      </c>
    </row>
    <row r="101" customFormat="false" ht="15" hidden="false" customHeight="false" outlineLevel="0" collapsed="false">
      <c r="A101" s="25"/>
      <c r="B101" s="20"/>
      <c r="C101" s="20"/>
      <c r="D101" s="7" t="str">
        <f aca="false">IF(C101="","",IFERROR(INDEX(Productos!$A$5:$A$104,MATCH(C101,Productos!$B$5:$B$104,0)),""))</f>
        <v/>
      </c>
      <c r="E101" s="7" t="str">
        <f aca="false">IF(C101="","",IFERROR(INDEX(Productos!$C$5:$C$104,MATCH(C101,Productos!$B$5:$B$104,0)),""))</f>
        <v/>
      </c>
      <c r="F101" s="21"/>
      <c r="G101" s="11" t="str">
        <f aca="false">IF(C101="","",IFERROR(INDEX(Productos!$G$5:$G$104,MATCH(C101,Productos!$B$5:$B$104,0)),0))</f>
        <v/>
      </c>
      <c r="H101" s="26"/>
      <c r="I101" s="11" t="str">
        <f aca="false">IF(C101="","",F101*G101*(1-H101))</f>
        <v/>
      </c>
      <c r="J101" s="20"/>
      <c r="K101" s="20"/>
      <c r="L101" s="11" t="str">
        <f aca="false">IF(C101="","",F101*IFERROR(INDEX(Productos!$F$5:$F$104,MATCH(C101,Productos!$B$5:$B$104,0)),0))</f>
        <v/>
      </c>
      <c r="M101" s="11" t="str">
        <f aca="false">IF(C101="","",I101-L101)</f>
        <v/>
      </c>
    </row>
    <row r="102" customFormat="false" ht="15" hidden="false" customHeight="false" outlineLevel="0" collapsed="false">
      <c r="A102" s="25"/>
      <c r="B102" s="20"/>
      <c r="C102" s="20"/>
      <c r="D102" s="7" t="str">
        <f aca="false">IF(C102="","",IFERROR(INDEX(Productos!$A$5:$A$104,MATCH(C102,Productos!$B$5:$B$104,0)),""))</f>
        <v/>
      </c>
      <c r="E102" s="7" t="str">
        <f aca="false">IF(C102="","",IFERROR(INDEX(Productos!$C$5:$C$104,MATCH(C102,Productos!$B$5:$B$104,0)),""))</f>
        <v/>
      </c>
      <c r="F102" s="21"/>
      <c r="G102" s="11" t="str">
        <f aca="false">IF(C102="","",IFERROR(INDEX(Productos!$G$5:$G$104,MATCH(C102,Productos!$B$5:$B$104,0)),0))</f>
        <v/>
      </c>
      <c r="H102" s="26"/>
      <c r="I102" s="11" t="str">
        <f aca="false">IF(C102="","",F102*G102*(1-H102))</f>
        <v/>
      </c>
      <c r="J102" s="20"/>
      <c r="K102" s="20"/>
      <c r="L102" s="11" t="str">
        <f aca="false">IF(C102="","",F102*IFERROR(INDEX(Productos!$F$5:$F$104,MATCH(C102,Productos!$B$5:$B$104,0)),0))</f>
        <v/>
      </c>
      <c r="M102" s="11" t="str">
        <f aca="false">IF(C102="","",I102-L102)</f>
        <v/>
      </c>
    </row>
    <row r="103" customFormat="false" ht="15" hidden="false" customHeight="false" outlineLevel="0" collapsed="false">
      <c r="A103" s="25"/>
      <c r="B103" s="20"/>
      <c r="C103" s="20"/>
      <c r="D103" s="7" t="str">
        <f aca="false">IF(C103="","",IFERROR(INDEX(Productos!$A$5:$A$104,MATCH(C103,Productos!$B$5:$B$104,0)),""))</f>
        <v/>
      </c>
      <c r="E103" s="7" t="str">
        <f aca="false">IF(C103="","",IFERROR(INDEX(Productos!$C$5:$C$104,MATCH(C103,Productos!$B$5:$B$104,0)),""))</f>
        <v/>
      </c>
      <c r="F103" s="21"/>
      <c r="G103" s="11" t="str">
        <f aca="false">IF(C103="","",IFERROR(INDEX(Productos!$G$5:$G$104,MATCH(C103,Productos!$B$5:$B$104,0)),0))</f>
        <v/>
      </c>
      <c r="H103" s="26"/>
      <c r="I103" s="11" t="str">
        <f aca="false">IF(C103="","",F103*G103*(1-H103))</f>
        <v/>
      </c>
      <c r="J103" s="20"/>
      <c r="K103" s="20"/>
      <c r="L103" s="11" t="str">
        <f aca="false">IF(C103="","",F103*IFERROR(INDEX(Productos!$F$5:$F$104,MATCH(C103,Productos!$B$5:$B$104,0)),0))</f>
        <v/>
      </c>
      <c r="M103" s="11" t="str">
        <f aca="false">IF(C103="","",I103-L103)</f>
        <v/>
      </c>
    </row>
    <row r="104" customFormat="false" ht="15" hidden="false" customHeight="false" outlineLevel="0" collapsed="false">
      <c r="A104" s="25"/>
      <c r="B104" s="20"/>
      <c r="C104" s="20"/>
      <c r="D104" s="7" t="str">
        <f aca="false">IF(C104="","",IFERROR(INDEX(Productos!$A$5:$A$104,MATCH(C104,Productos!$B$5:$B$104,0)),""))</f>
        <v/>
      </c>
      <c r="E104" s="7" t="str">
        <f aca="false">IF(C104="","",IFERROR(INDEX(Productos!$C$5:$C$104,MATCH(C104,Productos!$B$5:$B$104,0)),""))</f>
        <v/>
      </c>
      <c r="F104" s="21"/>
      <c r="G104" s="11" t="str">
        <f aca="false">IF(C104="","",IFERROR(INDEX(Productos!$G$5:$G$104,MATCH(C104,Productos!$B$5:$B$104,0)),0))</f>
        <v/>
      </c>
      <c r="H104" s="26"/>
      <c r="I104" s="11" t="str">
        <f aca="false">IF(C104="","",F104*G104*(1-H104))</f>
        <v/>
      </c>
      <c r="J104" s="20"/>
      <c r="K104" s="20"/>
      <c r="L104" s="11" t="str">
        <f aca="false">IF(C104="","",F104*IFERROR(INDEX(Productos!$F$5:$F$104,MATCH(C104,Productos!$B$5:$B$104,0)),0))</f>
        <v/>
      </c>
      <c r="M104" s="11" t="str">
        <f aca="false">IF(C104="","",I104-L104)</f>
        <v/>
      </c>
    </row>
    <row r="105" customFormat="false" ht="15" hidden="false" customHeight="false" outlineLevel="0" collapsed="false">
      <c r="A105" s="25"/>
      <c r="B105" s="20"/>
      <c r="C105" s="20"/>
      <c r="D105" s="7" t="str">
        <f aca="false">IF(C105="","",IFERROR(INDEX(Productos!$A$5:$A$104,MATCH(C105,Productos!$B$5:$B$104,0)),""))</f>
        <v/>
      </c>
      <c r="E105" s="7" t="str">
        <f aca="false">IF(C105="","",IFERROR(INDEX(Productos!$C$5:$C$104,MATCH(C105,Productos!$B$5:$B$104,0)),""))</f>
        <v/>
      </c>
      <c r="F105" s="21"/>
      <c r="G105" s="11" t="str">
        <f aca="false">IF(C105="","",IFERROR(INDEX(Productos!$G$5:$G$104,MATCH(C105,Productos!$B$5:$B$104,0)),0))</f>
        <v/>
      </c>
      <c r="H105" s="26"/>
      <c r="I105" s="11" t="str">
        <f aca="false">IF(C105="","",F105*G105*(1-H105))</f>
        <v/>
      </c>
      <c r="J105" s="20"/>
      <c r="K105" s="20"/>
      <c r="L105" s="11" t="str">
        <f aca="false">IF(C105="","",F105*IFERROR(INDEX(Productos!$F$5:$F$104,MATCH(C105,Productos!$B$5:$B$104,0)),0))</f>
        <v/>
      </c>
      <c r="M105" s="11" t="str">
        <f aca="false">IF(C105="","",I105-L105)</f>
        <v/>
      </c>
    </row>
    <row r="106" customFormat="false" ht="15" hidden="false" customHeight="false" outlineLevel="0" collapsed="false">
      <c r="A106" s="25"/>
      <c r="B106" s="20"/>
      <c r="C106" s="20"/>
      <c r="D106" s="7" t="str">
        <f aca="false">IF(C106="","",IFERROR(INDEX(Productos!$A$5:$A$104,MATCH(C106,Productos!$B$5:$B$104,0)),""))</f>
        <v/>
      </c>
      <c r="E106" s="7" t="str">
        <f aca="false">IF(C106="","",IFERROR(INDEX(Productos!$C$5:$C$104,MATCH(C106,Productos!$B$5:$B$104,0)),""))</f>
        <v/>
      </c>
      <c r="F106" s="21"/>
      <c r="G106" s="11" t="str">
        <f aca="false">IF(C106="","",IFERROR(INDEX(Productos!$G$5:$G$104,MATCH(C106,Productos!$B$5:$B$104,0)),0))</f>
        <v/>
      </c>
      <c r="H106" s="26"/>
      <c r="I106" s="11" t="str">
        <f aca="false">IF(C106="","",F106*G106*(1-H106))</f>
        <v/>
      </c>
      <c r="J106" s="20"/>
      <c r="K106" s="20"/>
      <c r="L106" s="11" t="str">
        <f aca="false">IF(C106="","",F106*IFERROR(INDEX(Productos!$F$5:$F$104,MATCH(C106,Productos!$B$5:$B$104,0)),0))</f>
        <v/>
      </c>
      <c r="M106" s="11" t="str">
        <f aca="false">IF(C106="","",I106-L106)</f>
        <v/>
      </c>
    </row>
    <row r="107" customFormat="false" ht="15" hidden="false" customHeight="false" outlineLevel="0" collapsed="false">
      <c r="A107" s="25"/>
      <c r="B107" s="20"/>
      <c r="C107" s="20"/>
      <c r="D107" s="7" t="str">
        <f aca="false">IF(C107="","",IFERROR(INDEX(Productos!$A$5:$A$104,MATCH(C107,Productos!$B$5:$B$104,0)),""))</f>
        <v/>
      </c>
      <c r="E107" s="7" t="str">
        <f aca="false">IF(C107="","",IFERROR(INDEX(Productos!$C$5:$C$104,MATCH(C107,Productos!$B$5:$B$104,0)),""))</f>
        <v/>
      </c>
      <c r="F107" s="21"/>
      <c r="G107" s="11" t="str">
        <f aca="false">IF(C107="","",IFERROR(INDEX(Productos!$G$5:$G$104,MATCH(C107,Productos!$B$5:$B$104,0)),0))</f>
        <v/>
      </c>
      <c r="H107" s="26"/>
      <c r="I107" s="11" t="str">
        <f aca="false">IF(C107="","",F107*G107*(1-H107))</f>
        <v/>
      </c>
      <c r="J107" s="20"/>
      <c r="K107" s="20"/>
      <c r="L107" s="11" t="str">
        <f aca="false">IF(C107="","",F107*IFERROR(INDEX(Productos!$F$5:$F$104,MATCH(C107,Productos!$B$5:$B$104,0)),0))</f>
        <v/>
      </c>
      <c r="M107" s="11" t="str">
        <f aca="false">IF(C107="","",I107-L107)</f>
        <v/>
      </c>
    </row>
    <row r="108" customFormat="false" ht="15" hidden="false" customHeight="false" outlineLevel="0" collapsed="false">
      <c r="A108" s="25"/>
      <c r="B108" s="20"/>
      <c r="C108" s="20"/>
      <c r="D108" s="7" t="str">
        <f aca="false">IF(C108="","",IFERROR(INDEX(Productos!$A$5:$A$104,MATCH(C108,Productos!$B$5:$B$104,0)),""))</f>
        <v/>
      </c>
      <c r="E108" s="7" t="str">
        <f aca="false">IF(C108="","",IFERROR(INDEX(Productos!$C$5:$C$104,MATCH(C108,Productos!$B$5:$B$104,0)),""))</f>
        <v/>
      </c>
      <c r="F108" s="21"/>
      <c r="G108" s="11" t="str">
        <f aca="false">IF(C108="","",IFERROR(INDEX(Productos!$G$5:$G$104,MATCH(C108,Productos!$B$5:$B$104,0)),0))</f>
        <v/>
      </c>
      <c r="H108" s="26"/>
      <c r="I108" s="11" t="str">
        <f aca="false">IF(C108="","",F108*G108*(1-H108))</f>
        <v/>
      </c>
      <c r="J108" s="20"/>
      <c r="K108" s="20"/>
      <c r="L108" s="11" t="str">
        <f aca="false">IF(C108="","",F108*IFERROR(INDEX(Productos!$F$5:$F$104,MATCH(C108,Productos!$B$5:$B$104,0)),0))</f>
        <v/>
      </c>
      <c r="M108" s="11" t="str">
        <f aca="false">IF(C108="","",I108-L108)</f>
        <v/>
      </c>
    </row>
    <row r="109" customFormat="false" ht="15" hidden="false" customHeight="false" outlineLevel="0" collapsed="false">
      <c r="A109" s="25"/>
      <c r="B109" s="20"/>
      <c r="C109" s="20"/>
      <c r="D109" s="7" t="str">
        <f aca="false">IF(C109="","",IFERROR(INDEX(Productos!$A$5:$A$104,MATCH(C109,Productos!$B$5:$B$104,0)),""))</f>
        <v/>
      </c>
      <c r="E109" s="7" t="str">
        <f aca="false">IF(C109="","",IFERROR(INDEX(Productos!$C$5:$C$104,MATCH(C109,Productos!$B$5:$B$104,0)),""))</f>
        <v/>
      </c>
      <c r="F109" s="21"/>
      <c r="G109" s="11" t="str">
        <f aca="false">IF(C109="","",IFERROR(INDEX(Productos!$G$5:$G$104,MATCH(C109,Productos!$B$5:$B$104,0)),0))</f>
        <v/>
      </c>
      <c r="H109" s="26"/>
      <c r="I109" s="11" t="str">
        <f aca="false">IF(C109="","",F109*G109*(1-H109))</f>
        <v/>
      </c>
      <c r="J109" s="20"/>
      <c r="K109" s="20"/>
      <c r="L109" s="11" t="str">
        <f aca="false">IF(C109="","",F109*IFERROR(INDEX(Productos!$F$5:$F$104,MATCH(C109,Productos!$B$5:$B$104,0)),0))</f>
        <v/>
      </c>
      <c r="M109" s="11" t="str">
        <f aca="false">IF(C109="","",I109-L109)</f>
        <v/>
      </c>
    </row>
    <row r="110" customFormat="false" ht="15" hidden="false" customHeight="false" outlineLevel="0" collapsed="false">
      <c r="A110" s="25"/>
      <c r="B110" s="20"/>
      <c r="C110" s="20"/>
      <c r="D110" s="7" t="str">
        <f aca="false">IF(C110="","",IFERROR(INDEX(Productos!$A$5:$A$104,MATCH(C110,Productos!$B$5:$B$104,0)),""))</f>
        <v/>
      </c>
      <c r="E110" s="7" t="str">
        <f aca="false">IF(C110="","",IFERROR(INDEX(Productos!$C$5:$C$104,MATCH(C110,Productos!$B$5:$B$104,0)),""))</f>
        <v/>
      </c>
      <c r="F110" s="21"/>
      <c r="G110" s="11" t="str">
        <f aca="false">IF(C110="","",IFERROR(INDEX(Productos!$G$5:$G$104,MATCH(C110,Productos!$B$5:$B$104,0)),0))</f>
        <v/>
      </c>
      <c r="H110" s="26"/>
      <c r="I110" s="11" t="str">
        <f aca="false">IF(C110="","",F110*G110*(1-H110))</f>
        <v/>
      </c>
      <c r="J110" s="20"/>
      <c r="K110" s="20"/>
      <c r="L110" s="11" t="str">
        <f aca="false">IF(C110="","",F110*IFERROR(INDEX(Productos!$F$5:$F$104,MATCH(C110,Productos!$B$5:$B$104,0)),0))</f>
        <v/>
      </c>
      <c r="M110" s="11" t="str">
        <f aca="false">IF(C110="","",I110-L110)</f>
        <v/>
      </c>
    </row>
    <row r="111" customFormat="false" ht="15" hidden="false" customHeight="false" outlineLevel="0" collapsed="false">
      <c r="A111" s="25"/>
      <c r="B111" s="20"/>
      <c r="C111" s="20"/>
      <c r="D111" s="7" t="str">
        <f aca="false">IF(C111="","",IFERROR(INDEX(Productos!$A$5:$A$104,MATCH(C111,Productos!$B$5:$B$104,0)),""))</f>
        <v/>
      </c>
      <c r="E111" s="7" t="str">
        <f aca="false">IF(C111="","",IFERROR(INDEX(Productos!$C$5:$C$104,MATCH(C111,Productos!$B$5:$B$104,0)),""))</f>
        <v/>
      </c>
      <c r="F111" s="21"/>
      <c r="G111" s="11" t="str">
        <f aca="false">IF(C111="","",IFERROR(INDEX(Productos!$G$5:$G$104,MATCH(C111,Productos!$B$5:$B$104,0)),0))</f>
        <v/>
      </c>
      <c r="H111" s="26"/>
      <c r="I111" s="11" t="str">
        <f aca="false">IF(C111="","",F111*G111*(1-H111))</f>
        <v/>
      </c>
      <c r="J111" s="20"/>
      <c r="K111" s="20"/>
      <c r="L111" s="11" t="str">
        <f aca="false">IF(C111="","",F111*IFERROR(INDEX(Productos!$F$5:$F$104,MATCH(C111,Productos!$B$5:$B$104,0)),0))</f>
        <v/>
      </c>
      <c r="M111" s="11" t="str">
        <f aca="false">IF(C111="","",I111-L111)</f>
        <v/>
      </c>
    </row>
    <row r="112" customFormat="false" ht="15" hidden="false" customHeight="false" outlineLevel="0" collapsed="false">
      <c r="A112" s="25"/>
      <c r="B112" s="20"/>
      <c r="C112" s="20"/>
      <c r="D112" s="7" t="str">
        <f aca="false">IF(C112="","",IFERROR(INDEX(Productos!$A$5:$A$104,MATCH(C112,Productos!$B$5:$B$104,0)),""))</f>
        <v/>
      </c>
      <c r="E112" s="7" t="str">
        <f aca="false">IF(C112="","",IFERROR(INDEX(Productos!$C$5:$C$104,MATCH(C112,Productos!$B$5:$B$104,0)),""))</f>
        <v/>
      </c>
      <c r="F112" s="21"/>
      <c r="G112" s="11" t="str">
        <f aca="false">IF(C112="","",IFERROR(INDEX(Productos!$G$5:$G$104,MATCH(C112,Productos!$B$5:$B$104,0)),0))</f>
        <v/>
      </c>
      <c r="H112" s="26"/>
      <c r="I112" s="11" t="str">
        <f aca="false">IF(C112="","",F112*G112*(1-H112))</f>
        <v/>
      </c>
      <c r="J112" s="20"/>
      <c r="K112" s="20"/>
      <c r="L112" s="11" t="str">
        <f aca="false">IF(C112="","",F112*IFERROR(INDEX(Productos!$F$5:$F$104,MATCH(C112,Productos!$B$5:$B$104,0)),0))</f>
        <v/>
      </c>
      <c r="M112" s="11" t="str">
        <f aca="false">IF(C112="","",I112-L112)</f>
        <v/>
      </c>
    </row>
    <row r="113" customFormat="false" ht="15" hidden="false" customHeight="false" outlineLevel="0" collapsed="false">
      <c r="A113" s="25"/>
      <c r="B113" s="20"/>
      <c r="C113" s="20"/>
      <c r="D113" s="7" t="str">
        <f aca="false">IF(C113="","",IFERROR(INDEX(Productos!$A$5:$A$104,MATCH(C113,Productos!$B$5:$B$104,0)),""))</f>
        <v/>
      </c>
      <c r="E113" s="7" t="str">
        <f aca="false">IF(C113="","",IFERROR(INDEX(Productos!$C$5:$C$104,MATCH(C113,Productos!$B$5:$B$104,0)),""))</f>
        <v/>
      </c>
      <c r="F113" s="21"/>
      <c r="G113" s="11" t="str">
        <f aca="false">IF(C113="","",IFERROR(INDEX(Productos!$G$5:$G$104,MATCH(C113,Productos!$B$5:$B$104,0)),0))</f>
        <v/>
      </c>
      <c r="H113" s="26"/>
      <c r="I113" s="11" t="str">
        <f aca="false">IF(C113="","",F113*G113*(1-H113))</f>
        <v/>
      </c>
      <c r="J113" s="20"/>
      <c r="K113" s="20"/>
      <c r="L113" s="11" t="str">
        <f aca="false">IF(C113="","",F113*IFERROR(INDEX(Productos!$F$5:$F$104,MATCH(C113,Productos!$B$5:$B$104,0)),0))</f>
        <v/>
      </c>
      <c r="M113" s="11" t="str">
        <f aca="false">IF(C113="","",I113-L113)</f>
        <v/>
      </c>
    </row>
    <row r="114" customFormat="false" ht="15" hidden="false" customHeight="false" outlineLevel="0" collapsed="false">
      <c r="A114" s="25"/>
      <c r="B114" s="20"/>
      <c r="C114" s="20"/>
      <c r="D114" s="7" t="str">
        <f aca="false">IF(C114="","",IFERROR(INDEX(Productos!$A$5:$A$104,MATCH(C114,Productos!$B$5:$B$104,0)),""))</f>
        <v/>
      </c>
      <c r="E114" s="7" t="str">
        <f aca="false">IF(C114="","",IFERROR(INDEX(Productos!$C$5:$C$104,MATCH(C114,Productos!$B$5:$B$104,0)),""))</f>
        <v/>
      </c>
      <c r="F114" s="21"/>
      <c r="G114" s="11" t="str">
        <f aca="false">IF(C114="","",IFERROR(INDEX(Productos!$G$5:$G$104,MATCH(C114,Productos!$B$5:$B$104,0)),0))</f>
        <v/>
      </c>
      <c r="H114" s="26"/>
      <c r="I114" s="11" t="str">
        <f aca="false">IF(C114="","",F114*G114*(1-H114))</f>
        <v/>
      </c>
      <c r="J114" s="20"/>
      <c r="K114" s="20"/>
      <c r="L114" s="11" t="str">
        <f aca="false">IF(C114="","",F114*IFERROR(INDEX(Productos!$F$5:$F$104,MATCH(C114,Productos!$B$5:$B$104,0)),0))</f>
        <v/>
      </c>
      <c r="M114" s="11" t="str">
        <f aca="false">IF(C114="","",I114-L114)</f>
        <v/>
      </c>
    </row>
    <row r="115" customFormat="false" ht="15" hidden="false" customHeight="false" outlineLevel="0" collapsed="false">
      <c r="A115" s="25"/>
      <c r="B115" s="20"/>
      <c r="C115" s="20"/>
      <c r="D115" s="7" t="str">
        <f aca="false">IF(C115="","",IFERROR(INDEX(Productos!$A$5:$A$104,MATCH(C115,Productos!$B$5:$B$104,0)),""))</f>
        <v/>
      </c>
      <c r="E115" s="7" t="str">
        <f aca="false">IF(C115="","",IFERROR(INDEX(Productos!$C$5:$C$104,MATCH(C115,Productos!$B$5:$B$104,0)),""))</f>
        <v/>
      </c>
      <c r="F115" s="21"/>
      <c r="G115" s="11" t="str">
        <f aca="false">IF(C115="","",IFERROR(INDEX(Productos!$G$5:$G$104,MATCH(C115,Productos!$B$5:$B$104,0)),0))</f>
        <v/>
      </c>
      <c r="H115" s="26"/>
      <c r="I115" s="11" t="str">
        <f aca="false">IF(C115="","",F115*G115*(1-H115))</f>
        <v/>
      </c>
      <c r="J115" s="20"/>
      <c r="K115" s="20"/>
      <c r="L115" s="11" t="str">
        <f aca="false">IF(C115="","",F115*IFERROR(INDEX(Productos!$F$5:$F$104,MATCH(C115,Productos!$B$5:$B$104,0)),0))</f>
        <v/>
      </c>
      <c r="M115" s="11" t="str">
        <f aca="false">IF(C115="","",I115-L115)</f>
        <v/>
      </c>
    </row>
    <row r="116" customFormat="false" ht="15" hidden="false" customHeight="false" outlineLevel="0" collapsed="false">
      <c r="A116" s="25"/>
      <c r="B116" s="20"/>
      <c r="C116" s="20"/>
      <c r="D116" s="7" t="str">
        <f aca="false">IF(C116="","",IFERROR(INDEX(Productos!$A$5:$A$104,MATCH(C116,Productos!$B$5:$B$104,0)),""))</f>
        <v/>
      </c>
      <c r="E116" s="7" t="str">
        <f aca="false">IF(C116="","",IFERROR(INDEX(Productos!$C$5:$C$104,MATCH(C116,Productos!$B$5:$B$104,0)),""))</f>
        <v/>
      </c>
      <c r="F116" s="21"/>
      <c r="G116" s="11" t="str">
        <f aca="false">IF(C116="","",IFERROR(INDEX(Productos!$G$5:$G$104,MATCH(C116,Productos!$B$5:$B$104,0)),0))</f>
        <v/>
      </c>
      <c r="H116" s="26"/>
      <c r="I116" s="11" t="str">
        <f aca="false">IF(C116="","",F116*G116*(1-H116))</f>
        <v/>
      </c>
      <c r="J116" s="20"/>
      <c r="K116" s="20"/>
      <c r="L116" s="11" t="str">
        <f aca="false">IF(C116="","",F116*IFERROR(INDEX(Productos!$F$5:$F$104,MATCH(C116,Productos!$B$5:$B$104,0)),0))</f>
        <v/>
      </c>
      <c r="M116" s="11" t="str">
        <f aca="false">IF(C116="","",I116-L116)</f>
        <v/>
      </c>
    </row>
    <row r="117" customFormat="false" ht="15" hidden="false" customHeight="false" outlineLevel="0" collapsed="false">
      <c r="A117" s="25"/>
      <c r="B117" s="20"/>
      <c r="C117" s="20"/>
      <c r="D117" s="7" t="str">
        <f aca="false">IF(C117="","",IFERROR(INDEX(Productos!$A$5:$A$104,MATCH(C117,Productos!$B$5:$B$104,0)),""))</f>
        <v/>
      </c>
      <c r="E117" s="7" t="str">
        <f aca="false">IF(C117="","",IFERROR(INDEX(Productos!$C$5:$C$104,MATCH(C117,Productos!$B$5:$B$104,0)),""))</f>
        <v/>
      </c>
      <c r="F117" s="21"/>
      <c r="G117" s="11" t="str">
        <f aca="false">IF(C117="","",IFERROR(INDEX(Productos!$G$5:$G$104,MATCH(C117,Productos!$B$5:$B$104,0)),0))</f>
        <v/>
      </c>
      <c r="H117" s="26"/>
      <c r="I117" s="11" t="str">
        <f aca="false">IF(C117="","",F117*G117*(1-H117))</f>
        <v/>
      </c>
      <c r="J117" s="20"/>
      <c r="K117" s="20"/>
      <c r="L117" s="11" t="str">
        <f aca="false">IF(C117="","",F117*IFERROR(INDEX(Productos!$F$5:$F$104,MATCH(C117,Productos!$B$5:$B$104,0)),0))</f>
        <v/>
      </c>
      <c r="M117" s="11" t="str">
        <f aca="false">IF(C117="","",I117-L117)</f>
        <v/>
      </c>
    </row>
    <row r="118" customFormat="false" ht="15" hidden="false" customHeight="false" outlineLevel="0" collapsed="false">
      <c r="A118" s="25"/>
      <c r="B118" s="20"/>
      <c r="C118" s="20"/>
      <c r="D118" s="7" t="str">
        <f aca="false">IF(C118="","",IFERROR(INDEX(Productos!$A$5:$A$104,MATCH(C118,Productos!$B$5:$B$104,0)),""))</f>
        <v/>
      </c>
      <c r="E118" s="7" t="str">
        <f aca="false">IF(C118="","",IFERROR(INDEX(Productos!$C$5:$C$104,MATCH(C118,Productos!$B$5:$B$104,0)),""))</f>
        <v/>
      </c>
      <c r="F118" s="21"/>
      <c r="G118" s="11" t="str">
        <f aca="false">IF(C118="","",IFERROR(INDEX(Productos!$G$5:$G$104,MATCH(C118,Productos!$B$5:$B$104,0)),0))</f>
        <v/>
      </c>
      <c r="H118" s="26"/>
      <c r="I118" s="11" t="str">
        <f aca="false">IF(C118="","",F118*G118*(1-H118))</f>
        <v/>
      </c>
      <c r="J118" s="20"/>
      <c r="K118" s="20"/>
      <c r="L118" s="11" t="str">
        <f aca="false">IF(C118="","",F118*IFERROR(INDEX(Productos!$F$5:$F$104,MATCH(C118,Productos!$B$5:$B$104,0)),0))</f>
        <v/>
      </c>
      <c r="M118" s="11" t="str">
        <f aca="false">IF(C118="","",I118-L118)</f>
        <v/>
      </c>
    </row>
    <row r="119" customFormat="false" ht="15" hidden="false" customHeight="false" outlineLevel="0" collapsed="false">
      <c r="A119" s="25"/>
      <c r="B119" s="20"/>
      <c r="C119" s="20"/>
      <c r="D119" s="7" t="str">
        <f aca="false">IF(C119="","",IFERROR(INDEX(Productos!$A$5:$A$104,MATCH(C119,Productos!$B$5:$B$104,0)),""))</f>
        <v/>
      </c>
      <c r="E119" s="7" t="str">
        <f aca="false">IF(C119="","",IFERROR(INDEX(Productos!$C$5:$C$104,MATCH(C119,Productos!$B$5:$B$104,0)),""))</f>
        <v/>
      </c>
      <c r="F119" s="21"/>
      <c r="G119" s="11" t="str">
        <f aca="false">IF(C119="","",IFERROR(INDEX(Productos!$G$5:$G$104,MATCH(C119,Productos!$B$5:$B$104,0)),0))</f>
        <v/>
      </c>
      <c r="H119" s="26"/>
      <c r="I119" s="11" t="str">
        <f aca="false">IF(C119="","",F119*G119*(1-H119))</f>
        <v/>
      </c>
      <c r="J119" s="20"/>
      <c r="K119" s="20"/>
      <c r="L119" s="11" t="str">
        <f aca="false">IF(C119="","",F119*IFERROR(INDEX(Productos!$F$5:$F$104,MATCH(C119,Productos!$B$5:$B$104,0)),0))</f>
        <v/>
      </c>
      <c r="M119" s="11" t="str">
        <f aca="false">IF(C119="","",I119-L119)</f>
        <v/>
      </c>
    </row>
    <row r="120" customFormat="false" ht="15" hidden="false" customHeight="false" outlineLevel="0" collapsed="false">
      <c r="A120" s="25"/>
      <c r="B120" s="20"/>
      <c r="C120" s="20"/>
      <c r="D120" s="7" t="str">
        <f aca="false">IF(C120="","",IFERROR(INDEX(Productos!$A$5:$A$104,MATCH(C120,Productos!$B$5:$B$104,0)),""))</f>
        <v/>
      </c>
      <c r="E120" s="7" t="str">
        <f aca="false">IF(C120="","",IFERROR(INDEX(Productos!$C$5:$C$104,MATCH(C120,Productos!$B$5:$B$104,0)),""))</f>
        <v/>
      </c>
      <c r="F120" s="21"/>
      <c r="G120" s="11" t="str">
        <f aca="false">IF(C120="","",IFERROR(INDEX(Productos!$G$5:$G$104,MATCH(C120,Productos!$B$5:$B$104,0)),0))</f>
        <v/>
      </c>
      <c r="H120" s="26"/>
      <c r="I120" s="11" t="str">
        <f aca="false">IF(C120="","",F120*G120*(1-H120))</f>
        <v/>
      </c>
      <c r="J120" s="20"/>
      <c r="K120" s="20"/>
      <c r="L120" s="11" t="str">
        <f aca="false">IF(C120="","",F120*IFERROR(INDEX(Productos!$F$5:$F$104,MATCH(C120,Productos!$B$5:$B$104,0)),0))</f>
        <v/>
      </c>
      <c r="M120" s="11" t="str">
        <f aca="false">IF(C120="","",I120-L120)</f>
        <v/>
      </c>
    </row>
    <row r="121" customFormat="false" ht="15" hidden="false" customHeight="false" outlineLevel="0" collapsed="false">
      <c r="A121" s="25"/>
      <c r="B121" s="20"/>
      <c r="C121" s="20"/>
      <c r="D121" s="7" t="str">
        <f aca="false">IF(C121="","",IFERROR(INDEX(Productos!$A$5:$A$104,MATCH(C121,Productos!$B$5:$B$104,0)),""))</f>
        <v/>
      </c>
      <c r="E121" s="7" t="str">
        <f aca="false">IF(C121="","",IFERROR(INDEX(Productos!$C$5:$C$104,MATCH(C121,Productos!$B$5:$B$104,0)),""))</f>
        <v/>
      </c>
      <c r="F121" s="21"/>
      <c r="G121" s="11" t="str">
        <f aca="false">IF(C121="","",IFERROR(INDEX(Productos!$G$5:$G$104,MATCH(C121,Productos!$B$5:$B$104,0)),0))</f>
        <v/>
      </c>
      <c r="H121" s="26"/>
      <c r="I121" s="11" t="str">
        <f aca="false">IF(C121="","",F121*G121*(1-H121))</f>
        <v/>
      </c>
      <c r="J121" s="20"/>
      <c r="K121" s="20"/>
      <c r="L121" s="11" t="str">
        <f aca="false">IF(C121="","",F121*IFERROR(INDEX(Productos!$F$5:$F$104,MATCH(C121,Productos!$B$5:$B$104,0)),0))</f>
        <v/>
      </c>
      <c r="M121" s="11" t="str">
        <f aca="false">IF(C121="","",I121-L121)</f>
        <v/>
      </c>
    </row>
    <row r="122" customFormat="false" ht="15" hidden="false" customHeight="false" outlineLevel="0" collapsed="false">
      <c r="A122" s="25"/>
      <c r="B122" s="20"/>
      <c r="C122" s="20"/>
      <c r="D122" s="7" t="str">
        <f aca="false">IF(C122="","",IFERROR(INDEX(Productos!$A$5:$A$104,MATCH(C122,Productos!$B$5:$B$104,0)),""))</f>
        <v/>
      </c>
      <c r="E122" s="7" t="str">
        <f aca="false">IF(C122="","",IFERROR(INDEX(Productos!$C$5:$C$104,MATCH(C122,Productos!$B$5:$B$104,0)),""))</f>
        <v/>
      </c>
      <c r="F122" s="21"/>
      <c r="G122" s="11" t="str">
        <f aca="false">IF(C122="","",IFERROR(INDEX(Productos!$G$5:$G$104,MATCH(C122,Productos!$B$5:$B$104,0)),0))</f>
        <v/>
      </c>
      <c r="H122" s="26"/>
      <c r="I122" s="11" t="str">
        <f aca="false">IF(C122="","",F122*G122*(1-H122))</f>
        <v/>
      </c>
      <c r="J122" s="20"/>
      <c r="K122" s="20"/>
      <c r="L122" s="11" t="str">
        <f aca="false">IF(C122="","",F122*IFERROR(INDEX(Productos!$F$5:$F$104,MATCH(C122,Productos!$B$5:$B$104,0)),0))</f>
        <v/>
      </c>
      <c r="M122" s="11" t="str">
        <f aca="false">IF(C122="","",I122-L122)</f>
        <v/>
      </c>
    </row>
    <row r="123" customFormat="false" ht="15" hidden="false" customHeight="false" outlineLevel="0" collapsed="false">
      <c r="A123" s="25"/>
      <c r="B123" s="20"/>
      <c r="C123" s="20"/>
      <c r="D123" s="7" t="str">
        <f aca="false">IF(C123="","",IFERROR(INDEX(Productos!$A$5:$A$104,MATCH(C123,Productos!$B$5:$B$104,0)),""))</f>
        <v/>
      </c>
      <c r="E123" s="7" t="str">
        <f aca="false">IF(C123="","",IFERROR(INDEX(Productos!$C$5:$C$104,MATCH(C123,Productos!$B$5:$B$104,0)),""))</f>
        <v/>
      </c>
      <c r="F123" s="21"/>
      <c r="G123" s="11" t="str">
        <f aca="false">IF(C123="","",IFERROR(INDEX(Productos!$G$5:$G$104,MATCH(C123,Productos!$B$5:$B$104,0)),0))</f>
        <v/>
      </c>
      <c r="H123" s="26"/>
      <c r="I123" s="11" t="str">
        <f aca="false">IF(C123="","",F123*G123*(1-H123))</f>
        <v/>
      </c>
      <c r="J123" s="20"/>
      <c r="K123" s="20"/>
      <c r="L123" s="11" t="str">
        <f aca="false">IF(C123="","",F123*IFERROR(INDEX(Productos!$F$5:$F$104,MATCH(C123,Productos!$B$5:$B$104,0)),0))</f>
        <v/>
      </c>
      <c r="M123" s="11" t="str">
        <f aca="false">IF(C123="","",I123-L123)</f>
        <v/>
      </c>
    </row>
    <row r="124" customFormat="false" ht="15" hidden="false" customHeight="false" outlineLevel="0" collapsed="false">
      <c r="A124" s="25"/>
      <c r="B124" s="20"/>
      <c r="C124" s="20"/>
      <c r="D124" s="7" t="str">
        <f aca="false">IF(C124="","",IFERROR(INDEX(Productos!$A$5:$A$104,MATCH(C124,Productos!$B$5:$B$104,0)),""))</f>
        <v/>
      </c>
      <c r="E124" s="7" t="str">
        <f aca="false">IF(C124="","",IFERROR(INDEX(Productos!$C$5:$C$104,MATCH(C124,Productos!$B$5:$B$104,0)),""))</f>
        <v/>
      </c>
      <c r="F124" s="21"/>
      <c r="G124" s="11" t="str">
        <f aca="false">IF(C124="","",IFERROR(INDEX(Productos!$G$5:$G$104,MATCH(C124,Productos!$B$5:$B$104,0)),0))</f>
        <v/>
      </c>
      <c r="H124" s="26"/>
      <c r="I124" s="11" t="str">
        <f aca="false">IF(C124="","",F124*G124*(1-H124))</f>
        <v/>
      </c>
      <c r="J124" s="20"/>
      <c r="K124" s="20"/>
      <c r="L124" s="11" t="str">
        <f aca="false">IF(C124="","",F124*IFERROR(INDEX(Productos!$F$5:$F$104,MATCH(C124,Productos!$B$5:$B$104,0)),0))</f>
        <v/>
      </c>
      <c r="M124" s="11" t="str">
        <f aca="false">IF(C124="","",I124-L124)</f>
        <v/>
      </c>
    </row>
    <row r="125" customFormat="false" ht="15" hidden="false" customHeight="false" outlineLevel="0" collapsed="false">
      <c r="A125" s="25"/>
      <c r="B125" s="20"/>
      <c r="C125" s="20"/>
      <c r="D125" s="7" t="str">
        <f aca="false">IF(C125="","",IFERROR(INDEX(Productos!$A$5:$A$104,MATCH(C125,Productos!$B$5:$B$104,0)),""))</f>
        <v/>
      </c>
      <c r="E125" s="7" t="str">
        <f aca="false">IF(C125="","",IFERROR(INDEX(Productos!$C$5:$C$104,MATCH(C125,Productos!$B$5:$B$104,0)),""))</f>
        <v/>
      </c>
      <c r="F125" s="21"/>
      <c r="G125" s="11" t="str">
        <f aca="false">IF(C125="","",IFERROR(INDEX(Productos!$G$5:$G$104,MATCH(C125,Productos!$B$5:$B$104,0)),0))</f>
        <v/>
      </c>
      <c r="H125" s="26"/>
      <c r="I125" s="11" t="str">
        <f aca="false">IF(C125="","",F125*G125*(1-H125))</f>
        <v/>
      </c>
      <c r="J125" s="20"/>
      <c r="K125" s="20"/>
      <c r="L125" s="11" t="str">
        <f aca="false">IF(C125="","",F125*IFERROR(INDEX(Productos!$F$5:$F$104,MATCH(C125,Productos!$B$5:$B$104,0)),0))</f>
        <v/>
      </c>
      <c r="M125" s="11" t="str">
        <f aca="false">IF(C125="","",I125-L125)</f>
        <v/>
      </c>
    </row>
    <row r="126" customFormat="false" ht="15" hidden="false" customHeight="false" outlineLevel="0" collapsed="false">
      <c r="A126" s="25"/>
      <c r="B126" s="20"/>
      <c r="C126" s="20"/>
      <c r="D126" s="7" t="str">
        <f aca="false">IF(C126="","",IFERROR(INDEX(Productos!$A$5:$A$104,MATCH(C126,Productos!$B$5:$B$104,0)),""))</f>
        <v/>
      </c>
      <c r="E126" s="7" t="str">
        <f aca="false">IF(C126="","",IFERROR(INDEX(Productos!$C$5:$C$104,MATCH(C126,Productos!$B$5:$B$104,0)),""))</f>
        <v/>
      </c>
      <c r="F126" s="21"/>
      <c r="G126" s="11" t="str">
        <f aca="false">IF(C126="","",IFERROR(INDEX(Productos!$G$5:$G$104,MATCH(C126,Productos!$B$5:$B$104,0)),0))</f>
        <v/>
      </c>
      <c r="H126" s="26"/>
      <c r="I126" s="11" t="str">
        <f aca="false">IF(C126="","",F126*G126*(1-H126))</f>
        <v/>
      </c>
      <c r="J126" s="20"/>
      <c r="K126" s="20"/>
      <c r="L126" s="11" t="str">
        <f aca="false">IF(C126="","",F126*IFERROR(INDEX(Productos!$F$5:$F$104,MATCH(C126,Productos!$B$5:$B$104,0)),0))</f>
        <v/>
      </c>
      <c r="M126" s="11" t="str">
        <f aca="false">IF(C126="","",I126-L126)</f>
        <v/>
      </c>
    </row>
    <row r="127" customFormat="false" ht="15" hidden="false" customHeight="false" outlineLevel="0" collapsed="false">
      <c r="A127" s="25"/>
      <c r="B127" s="20"/>
      <c r="C127" s="20"/>
      <c r="D127" s="7" t="str">
        <f aca="false">IF(C127="","",IFERROR(INDEX(Productos!$A$5:$A$104,MATCH(C127,Productos!$B$5:$B$104,0)),""))</f>
        <v/>
      </c>
      <c r="E127" s="7" t="str">
        <f aca="false">IF(C127="","",IFERROR(INDEX(Productos!$C$5:$C$104,MATCH(C127,Productos!$B$5:$B$104,0)),""))</f>
        <v/>
      </c>
      <c r="F127" s="21"/>
      <c r="G127" s="11" t="str">
        <f aca="false">IF(C127="","",IFERROR(INDEX(Productos!$G$5:$G$104,MATCH(C127,Productos!$B$5:$B$104,0)),0))</f>
        <v/>
      </c>
      <c r="H127" s="26"/>
      <c r="I127" s="11" t="str">
        <f aca="false">IF(C127="","",F127*G127*(1-H127))</f>
        <v/>
      </c>
      <c r="J127" s="20"/>
      <c r="K127" s="20"/>
      <c r="L127" s="11" t="str">
        <f aca="false">IF(C127="","",F127*IFERROR(INDEX(Productos!$F$5:$F$104,MATCH(C127,Productos!$B$5:$B$104,0)),0))</f>
        <v/>
      </c>
      <c r="M127" s="11" t="str">
        <f aca="false">IF(C127="","",I127-L127)</f>
        <v/>
      </c>
    </row>
    <row r="128" customFormat="false" ht="15" hidden="false" customHeight="false" outlineLevel="0" collapsed="false">
      <c r="A128" s="25"/>
      <c r="B128" s="20"/>
      <c r="C128" s="20"/>
      <c r="D128" s="7" t="str">
        <f aca="false">IF(C128="","",IFERROR(INDEX(Productos!$A$5:$A$104,MATCH(C128,Productos!$B$5:$B$104,0)),""))</f>
        <v/>
      </c>
      <c r="E128" s="7" t="str">
        <f aca="false">IF(C128="","",IFERROR(INDEX(Productos!$C$5:$C$104,MATCH(C128,Productos!$B$5:$B$104,0)),""))</f>
        <v/>
      </c>
      <c r="F128" s="21"/>
      <c r="G128" s="11" t="str">
        <f aca="false">IF(C128="","",IFERROR(INDEX(Productos!$G$5:$G$104,MATCH(C128,Productos!$B$5:$B$104,0)),0))</f>
        <v/>
      </c>
      <c r="H128" s="26"/>
      <c r="I128" s="11" t="str">
        <f aca="false">IF(C128="","",F128*G128*(1-H128))</f>
        <v/>
      </c>
      <c r="J128" s="20"/>
      <c r="K128" s="20"/>
      <c r="L128" s="11" t="str">
        <f aca="false">IF(C128="","",F128*IFERROR(INDEX(Productos!$F$5:$F$104,MATCH(C128,Productos!$B$5:$B$104,0)),0))</f>
        <v/>
      </c>
      <c r="M128" s="11" t="str">
        <f aca="false">IF(C128="","",I128-L128)</f>
        <v/>
      </c>
    </row>
    <row r="129" customFormat="false" ht="15" hidden="false" customHeight="false" outlineLevel="0" collapsed="false">
      <c r="A129" s="25"/>
      <c r="B129" s="20"/>
      <c r="C129" s="20"/>
      <c r="D129" s="7" t="str">
        <f aca="false">IF(C129="","",IFERROR(INDEX(Productos!$A$5:$A$104,MATCH(C129,Productos!$B$5:$B$104,0)),""))</f>
        <v/>
      </c>
      <c r="E129" s="7" t="str">
        <f aca="false">IF(C129="","",IFERROR(INDEX(Productos!$C$5:$C$104,MATCH(C129,Productos!$B$5:$B$104,0)),""))</f>
        <v/>
      </c>
      <c r="F129" s="21"/>
      <c r="G129" s="11" t="str">
        <f aca="false">IF(C129="","",IFERROR(INDEX(Productos!$G$5:$G$104,MATCH(C129,Productos!$B$5:$B$104,0)),0))</f>
        <v/>
      </c>
      <c r="H129" s="26"/>
      <c r="I129" s="11" t="str">
        <f aca="false">IF(C129="","",F129*G129*(1-H129))</f>
        <v/>
      </c>
      <c r="J129" s="20"/>
      <c r="K129" s="20"/>
      <c r="L129" s="11" t="str">
        <f aca="false">IF(C129="","",F129*IFERROR(INDEX(Productos!$F$5:$F$104,MATCH(C129,Productos!$B$5:$B$104,0)),0))</f>
        <v/>
      </c>
      <c r="M129" s="11" t="str">
        <f aca="false">IF(C129="","",I129-L129)</f>
        <v/>
      </c>
    </row>
    <row r="130" customFormat="false" ht="15" hidden="false" customHeight="false" outlineLevel="0" collapsed="false">
      <c r="A130" s="25"/>
      <c r="B130" s="20"/>
      <c r="C130" s="20"/>
      <c r="D130" s="7" t="str">
        <f aca="false">IF(C130="","",IFERROR(INDEX(Productos!$A$5:$A$104,MATCH(C130,Productos!$B$5:$B$104,0)),""))</f>
        <v/>
      </c>
      <c r="E130" s="7" t="str">
        <f aca="false">IF(C130="","",IFERROR(INDEX(Productos!$C$5:$C$104,MATCH(C130,Productos!$B$5:$B$104,0)),""))</f>
        <v/>
      </c>
      <c r="F130" s="21"/>
      <c r="G130" s="11" t="str">
        <f aca="false">IF(C130="","",IFERROR(INDEX(Productos!$G$5:$G$104,MATCH(C130,Productos!$B$5:$B$104,0)),0))</f>
        <v/>
      </c>
      <c r="H130" s="26"/>
      <c r="I130" s="11" t="str">
        <f aca="false">IF(C130="","",F130*G130*(1-H130))</f>
        <v/>
      </c>
      <c r="J130" s="20"/>
      <c r="K130" s="20"/>
      <c r="L130" s="11" t="str">
        <f aca="false">IF(C130="","",F130*IFERROR(INDEX(Productos!$F$5:$F$104,MATCH(C130,Productos!$B$5:$B$104,0)),0))</f>
        <v/>
      </c>
      <c r="M130" s="11" t="str">
        <f aca="false">IF(C130="","",I130-L130)</f>
        <v/>
      </c>
    </row>
    <row r="131" customFormat="false" ht="15" hidden="false" customHeight="false" outlineLevel="0" collapsed="false">
      <c r="A131" s="25"/>
      <c r="B131" s="20"/>
      <c r="C131" s="20"/>
      <c r="D131" s="7" t="str">
        <f aca="false">IF(C131="","",IFERROR(INDEX(Productos!$A$5:$A$104,MATCH(C131,Productos!$B$5:$B$104,0)),""))</f>
        <v/>
      </c>
      <c r="E131" s="7" t="str">
        <f aca="false">IF(C131="","",IFERROR(INDEX(Productos!$C$5:$C$104,MATCH(C131,Productos!$B$5:$B$104,0)),""))</f>
        <v/>
      </c>
      <c r="F131" s="21"/>
      <c r="G131" s="11" t="str">
        <f aca="false">IF(C131="","",IFERROR(INDEX(Productos!$G$5:$G$104,MATCH(C131,Productos!$B$5:$B$104,0)),0))</f>
        <v/>
      </c>
      <c r="H131" s="26"/>
      <c r="I131" s="11" t="str">
        <f aca="false">IF(C131="","",F131*G131*(1-H131))</f>
        <v/>
      </c>
      <c r="J131" s="20"/>
      <c r="K131" s="20"/>
      <c r="L131" s="11" t="str">
        <f aca="false">IF(C131="","",F131*IFERROR(INDEX(Productos!$F$5:$F$104,MATCH(C131,Productos!$B$5:$B$104,0)),0))</f>
        <v/>
      </c>
      <c r="M131" s="11" t="str">
        <f aca="false">IF(C131="","",I131-L131)</f>
        <v/>
      </c>
    </row>
    <row r="132" customFormat="false" ht="15" hidden="false" customHeight="false" outlineLevel="0" collapsed="false">
      <c r="A132" s="25"/>
      <c r="B132" s="20"/>
      <c r="C132" s="20"/>
      <c r="D132" s="7" t="str">
        <f aca="false">IF(C132="","",IFERROR(INDEX(Productos!$A$5:$A$104,MATCH(C132,Productos!$B$5:$B$104,0)),""))</f>
        <v/>
      </c>
      <c r="E132" s="7" t="str">
        <f aca="false">IF(C132="","",IFERROR(INDEX(Productos!$C$5:$C$104,MATCH(C132,Productos!$B$5:$B$104,0)),""))</f>
        <v/>
      </c>
      <c r="F132" s="21"/>
      <c r="G132" s="11" t="str">
        <f aca="false">IF(C132="","",IFERROR(INDEX(Productos!$G$5:$G$104,MATCH(C132,Productos!$B$5:$B$104,0)),0))</f>
        <v/>
      </c>
      <c r="H132" s="26"/>
      <c r="I132" s="11" t="str">
        <f aca="false">IF(C132="","",F132*G132*(1-H132))</f>
        <v/>
      </c>
      <c r="J132" s="20"/>
      <c r="K132" s="20"/>
      <c r="L132" s="11" t="str">
        <f aca="false">IF(C132="","",F132*IFERROR(INDEX(Productos!$F$5:$F$104,MATCH(C132,Productos!$B$5:$B$104,0)),0))</f>
        <v/>
      </c>
      <c r="M132" s="11" t="str">
        <f aca="false">IF(C132="","",I132-L132)</f>
        <v/>
      </c>
    </row>
    <row r="133" customFormat="false" ht="15" hidden="false" customHeight="false" outlineLevel="0" collapsed="false">
      <c r="A133" s="25"/>
      <c r="B133" s="20"/>
      <c r="C133" s="20"/>
      <c r="D133" s="7" t="str">
        <f aca="false">IF(C133="","",IFERROR(INDEX(Productos!$A$5:$A$104,MATCH(C133,Productos!$B$5:$B$104,0)),""))</f>
        <v/>
      </c>
      <c r="E133" s="7" t="str">
        <f aca="false">IF(C133="","",IFERROR(INDEX(Productos!$C$5:$C$104,MATCH(C133,Productos!$B$5:$B$104,0)),""))</f>
        <v/>
      </c>
      <c r="F133" s="21"/>
      <c r="G133" s="11" t="str">
        <f aca="false">IF(C133="","",IFERROR(INDEX(Productos!$G$5:$G$104,MATCH(C133,Productos!$B$5:$B$104,0)),0))</f>
        <v/>
      </c>
      <c r="H133" s="26"/>
      <c r="I133" s="11" t="str">
        <f aca="false">IF(C133="","",F133*G133*(1-H133))</f>
        <v/>
      </c>
      <c r="J133" s="20"/>
      <c r="K133" s="20"/>
      <c r="L133" s="11" t="str">
        <f aca="false">IF(C133="","",F133*IFERROR(INDEX(Productos!$F$5:$F$104,MATCH(C133,Productos!$B$5:$B$104,0)),0))</f>
        <v/>
      </c>
      <c r="M133" s="11" t="str">
        <f aca="false">IF(C133="","",I133-L133)</f>
        <v/>
      </c>
    </row>
    <row r="134" customFormat="false" ht="15" hidden="false" customHeight="false" outlineLevel="0" collapsed="false">
      <c r="A134" s="25"/>
      <c r="B134" s="20"/>
      <c r="C134" s="20"/>
      <c r="D134" s="7" t="str">
        <f aca="false">IF(C134="","",IFERROR(INDEX(Productos!$A$5:$A$104,MATCH(C134,Productos!$B$5:$B$104,0)),""))</f>
        <v/>
      </c>
      <c r="E134" s="7" t="str">
        <f aca="false">IF(C134="","",IFERROR(INDEX(Productos!$C$5:$C$104,MATCH(C134,Productos!$B$5:$B$104,0)),""))</f>
        <v/>
      </c>
      <c r="F134" s="21"/>
      <c r="G134" s="11" t="str">
        <f aca="false">IF(C134="","",IFERROR(INDEX(Productos!$G$5:$G$104,MATCH(C134,Productos!$B$5:$B$104,0)),0))</f>
        <v/>
      </c>
      <c r="H134" s="26"/>
      <c r="I134" s="11" t="str">
        <f aca="false">IF(C134="","",F134*G134*(1-H134))</f>
        <v/>
      </c>
      <c r="J134" s="20"/>
      <c r="K134" s="20"/>
      <c r="L134" s="11" t="str">
        <f aca="false">IF(C134="","",F134*IFERROR(INDEX(Productos!$F$5:$F$104,MATCH(C134,Productos!$B$5:$B$104,0)),0))</f>
        <v/>
      </c>
      <c r="M134" s="11" t="str">
        <f aca="false">IF(C134="","",I134-L134)</f>
        <v/>
      </c>
    </row>
    <row r="135" customFormat="false" ht="15" hidden="false" customHeight="false" outlineLevel="0" collapsed="false">
      <c r="A135" s="25"/>
      <c r="B135" s="20"/>
      <c r="C135" s="20"/>
      <c r="D135" s="7" t="str">
        <f aca="false">IF(C135="","",IFERROR(INDEX(Productos!$A$5:$A$104,MATCH(C135,Productos!$B$5:$B$104,0)),""))</f>
        <v/>
      </c>
      <c r="E135" s="7" t="str">
        <f aca="false">IF(C135="","",IFERROR(INDEX(Productos!$C$5:$C$104,MATCH(C135,Productos!$B$5:$B$104,0)),""))</f>
        <v/>
      </c>
      <c r="F135" s="21"/>
      <c r="G135" s="11" t="str">
        <f aca="false">IF(C135="","",IFERROR(INDEX(Productos!$G$5:$G$104,MATCH(C135,Productos!$B$5:$B$104,0)),0))</f>
        <v/>
      </c>
      <c r="H135" s="26"/>
      <c r="I135" s="11" t="str">
        <f aca="false">IF(C135="","",F135*G135*(1-H135))</f>
        <v/>
      </c>
      <c r="J135" s="20"/>
      <c r="K135" s="20"/>
      <c r="L135" s="11" t="str">
        <f aca="false">IF(C135="","",F135*IFERROR(INDEX(Productos!$F$5:$F$104,MATCH(C135,Productos!$B$5:$B$104,0)),0))</f>
        <v/>
      </c>
      <c r="M135" s="11" t="str">
        <f aca="false">IF(C135="","",I135-L135)</f>
        <v/>
      </c>
    </row>
    <row r="136" customFormat="false" ht="15" hidden="false" customHeight="false" outlineLevel="0" collapsed="false">
      <c r="A136" s="25"/>
      <c r="B136" s="20"/>
      <c r="C136" s="20"/>
      <c r="D136" s="7" t="str">
        <f aca="false">IF(C136="","",IFERROR(INDEX(Productos!$A$5:$A$104,MATCH(C136,Productos!$B$5:$B$104,0)),""))</f>
        <v/>
      </c>
      <c r="E136" s="7" t="str">
        <f aca="false">IF(C136="","",IFERROR(INDEX(Productos!$C$5:$C$104,MATCH(C136,Productos!$B$5:$B$104,0)),""))</f>
        <v/>
      </c>
      <c r="F136" s="21"/>
      <c r="G136" s="11" t="str">
        <f aca="false">IF(C136="","",IFERROR(INDEX(Productos!$G$5:$G$104,MATCH(C136,Productos!$B$5:$B$104,0)),0))</f>
        <v/>
      </c>
      <c r="H136" s="26"/>
      <c r="I136" s="11" t="str">
        <f aca="false">IF(C136="","",F136*G136*(1-H136))</f>
        <v/>
      </c>
      <c r="J136" s="20"/>
      <c r="K136" s="20"/>
      <c r="L136" s="11" t="str">
        <f aca="false">IF(C136="","",F136*IFERROR(INDEX(Productos!$F$5:$F$104,MATCH(C136,Productos!$B$5:$B$104,0)),0))</f>
        <v/>
      </c>
      <c r="M136" s="11" t="str">
        <f aca="false">IF(C136="","",I136-L136)</f>
        <v/>
      </c>
    </row>
    <row r="137" customFormat="false" ht="15" hidden="false" customHeight="false" outlineLevel="0" collapsed="false">
      <c r="A137" s="25"/>
      <c r="B137" s="20"/>
      <c r="C137" s="20"/>
      <c r="D137" s="7" t="str">
        <f aca="false">IF(C137="","",IFERROR(INDEX(Productos!$A$5:$A$104,MATCH(C137,Productos!$B$5:$B$104,0)),""))</f>
        <v/>
      </c>
      <c r="E137" s="7" t="str">
        <f aca="false">IF(C137="","",IFERROR(INDEX(Productos!$C$5:$C$104,MATCH(C137,Productos!$B$5:$B$104,0)),""))</f>
        <v/>
      </c>
      <c r="F137" s="21"/>
      <c r="G137" s="11" t="str">
        <f aca="false">IF(C137="","",IFERROR(INDEX(Productos!$G$5:$G$104,MATCH(C137,Productos!$B$5:$B$104,0)),0))</f>
        <v/>
      </c>
      <c r="H137" s="26"/>
      <c r="I137" s="11" t="str">
        <f aca="false">IF(C137="","",F137*G137*(1-H137))</f>
        <v/>
      </c>
      <c r="J137" s="20"/>
      <c r="K137" s="20"/>
      <c r="L137" s="11" t="str">
        <f aca="false">IF(C137="","",F137*IFERROR(INDEX(Productos!$F$5:$F$104,MATCH(C137,Productos!$B$5:$B$104,0)),0))</f>
        <v/>
      </c>
      <c r="M137" s="11" t="str">
        <f aca="false">IF(C137="","",I137-L137)</f>
        <v/>
      </c>
    </row>
    <row r="138" customFormat="false" ht="15" hidden="false" customHeight="false" outlineLevel="0" collapsed="false">
      <c r="A138" s="25"/>
      <c r="B138" s="20"/>
      <c r="C138" s="20"/>
      <c r="D138" s="7" t="str">
        <f aca="false">IF(C138="","",IFERROR(INDEX(Productos!$A$5:$A$104,MATCH(C138,Productos!$B$5:$B$104,0)),""))</f>
        <v/>
      </c>
      <c r="E138" s="7" t="str">
        <f aca="false">IF(C138="","",IFERROR(INDEX(Productos!$C$5:$C$104,MATCH(C138,Productos!$B$5:$B$104,0)),""))</f>
        <v/>
      </c>
      <c r="F138" s="21"/>
      <c r="G138" s="11" t="str">
        <f aca="false">IF(C138="","",IFERROR(INDEX(Productos!$G$5:$G$104,MATCH(C138,Productos!$B$5:$B$104,0)),0))</f>
        <v/>
      </c>
      <c r="H138" s="26"/>
      <c r="I138" s="11" t="str">
        <f aca="false">IF(C138="","",F138*G138*(1-H138))</f>
        <v/>
      </c>
      <c r="J138" s="20"/>
      <c r="K138" s="20"/>
      <c r="L138" s="11" t="str">
        <f aca="false">IF(C138="","",F138*IFERROR(INDEX(Productos!$F$5:$F$104,MATCH(C138,Productos!$B$5:$B$104,0)),0))</f>
        <v/>
      </c>
      <c r="M138" s="11" t="str">
        <f aca="false">IF(C138="","",I138-L138)</f>
        <v/>
      </c>
    </row>
    <row r="139" customFormat="false" ht="15" hidden="false" customHeight="false" outlineLevel="0" collapsed="false">
      <c r="A139" s="25"/>
      <c r="B139" s="20"/>
      <c r="C139" s="20"/>
      <c r="D139" s="7" t="str">
        <f aca="false">IF(C139="","",IFERROR(INDEX(Productos!$A$5:$A$104,MATCH(C139,Productos!$B$5:$B$104,0)),""))</f>
        <v/>
      </c>
      <c r="E139" s="7" t="str">
        <f aca="false">IF(C139="","",IFERROR(INDEX(Productos!$C$5:$C$104,MATCH(C139,Productos!$B$5:$B$104,0)),""))</f>
        <v/>
      </c>
      <c r="F139" s="21"/>
      <c r="G139" s="11" t="str">
        <f aca="false">IF(C139="","",IFERROR(INDEX(Productos!$G$5:$G$104,MATCH(C139,Productos!$B$5:$B$104,0)),0))</f>
        <v/>
      </c>
      <c r="H139" s="26"/>
      <c r="I139" s="11" t="str">
        <f aca="false">IF(C139="","",F139*G139*(1-H139))</f>
        <v/>
      </c>
      <c r="J139" s="20"/>
      <c r="K139" s="20"/>
      <c r="L139" s="11" t="str">
        <f aca="false">IF(C139="","",F139*IFERROR(INDEX(Productos!$F$5:$F$104,MATCH(C139,Productos!$B$5:$B$104,0)),0))</f>
        <v/>
      </c>
      <c r="M139" s="11" t="str">
        <f aca="false">IF(C139="","",I139-L139)</f>
        <v/>
      </c>
    </row>
    <row r="140" customFormat="false" ht="15" hidden="false" customHeight="false" outlineLevel="0" collapsed="false">
      <c r="A140" s="25"/>
      <c r="B140" s="20"/>
      <c r="C140" s="20"/>
      <c r="D140" s="7" t="str">
        <f aca="false">IF(C140="","",IFERROR(INDEX(Productos!$A$5:$A$104,MATCH(C140,Productos!$B$5:$B$104,0)),""))</f>
        <v/>
      </c>
      <c r="E140" s="7" t="str">
        <f aca="false">IF(C140="","",IFERROR(INDEX(Productos!$C$5:$C$104,MATCH(C140,Productos!$B$5:$B$104,0)),""))</f>
        <v/>
      </c>
      <c r="F140" s="21"/>
      <c r="G140" s="11" t="str">
        <f aca="false">IF(C140="","",IFERROR(INDEX(Productos!$G$5:$G$104,MATCH(C140,Productos!$B$5:$B$104,0)),0))</f>
        <v/>
      </c>
      <c r="H140" s="26"/>
      <c r="I140" s="11" t="str">
        <f aca="false">IF(C140="","",F140*G140*(1-H140))</f>
        <v/>
      </c>
      <c r="J140" s="20"/>
      <c r="K140" s="20"/>
      <c r="L140" s="11" t="str">
        <f aca="false">IF(C140="","",F140*IFERROR(INDEX(Productos!$F$5:$F$104,MATCH(C140,Productos!$B$5:$B$104,0)),0))</f>
        <v/>
      </c>
      <c r="M140" s="11" t="str">
        <f aca="false">IF(C140="","",I140-L140)</f>
        <v/>
      </c>
    </row>
    <row r="141" customFormat="false" ht="15" hidden="false" customHeight="false" outlineLevel="0" collapsed="false">
      <c r="A141" s="25"/>
      <c r="B141" s="20"/>
      <c r="C141" s="20"/>
      <c r="D141" s="7" t="str">
        <f aca="false">IF(C141="","",IFERROR(INDEX(Productos!$A$5:$A$104,MATCH(C141,Productos!$B$5:$B$104,0)),""))</f>
        <v/>
      </c>
      <c r="E141" s="7" t="str">
        <f aca="false">IF(C141="","",IFERROR(INDEX(Productos!$C$5:$C$104,MATCH(C141,Productos!$B$5:$B$104,0)),""))</f>
        <v/>
      </c>
      <c r="F141" s="21"/>
      <c r="G141" s="11" t="str">
        <f aca="false">IF(C141="","",IFERROR(INDEX(Productos!$G$5:$G$104,MATCH(C141,Productos!$B$5:$B$104,0)),0))</f>
        <v/>
      </c>
      <c r="H141" s="26"/>
      <c r="I141" s="11" t="str">
        <f aca="false">IF(C141="","",F141*G141*(1-H141))</f>
        <v/>
      </c>
      <c r="J141" s="20"/>
      <c r="K141" s="20"/>
      <c r="L141" s="11" t="str">
        <f aca="false">IF(C141="","",F141*IFERROR(INDEX(Productos!$F$5:$F$104,MATCH(C141,Productos!$B$5:$B$104,0)),0))</f>
        <v/>
      </c>
      <c r="M141" s="11" t="str">
        <f aca="false">IF(C141="","",I141-L141)</f>
        <v/>
      </c>
    </row>
    <row r="142" customFormat="false" ht="15" hidden="false" customHeight="false" outlineLevel="0" collapsed="false">
      <c r="A142" s="25"/>
      <c r="B142" s="20"/>
      <c r="C142" s="20"/>
      <c r="D142" s="7" t="str">
        <f aca="false">IF(C142="","",IFERROR(INDEX(Productos!$A$5:$A$104,MATCH(C142,Productos!$B$5:$B$104,0)),""))</f>
        <v/>
      </c>
      <c r="E142" s="7" t="str">
        <f aca="false">IF(C142="","",IFERROR(INDEX(Productos!$C$5:$C$104,MATCH(C142,Productos!$B$5:$B$104,0)),""))</f>
        <v/>
      </c>
      <c r="F142" s="21"/>
      <c r="G142" s="11" t="str">
        <f aca="false">IF(C142="","",IFERROR(INDEX(Productos!$G$5:$G$104,MATCH(C142,Productos!$B$5:$B$104,0)),0))</f>
        <v/>
      </c>
      <c r="H142" s="26"/>
      <c r="I142" s="11" t="str">
        <f aca="false">IF(C142="","",F142*G142*(1-H142))</f>
        <v/>
      </c>
      <c r="J142" s="20"/>
      <c r="K142" s="20"/>
      <c r="L142" s="11" t="str">
        <f aca="false">IF(C142="","",F142*IFERROR(INDEX(Productos!$F$5:$F$104,MATCH(C142,Productos!$B$5:$B$104,0)),0))</f>
        <v/>
      </c>
      <c r="M142" s="11" t="str">
        <f aca="false">IF(C142="","",I142-L142)</f>
        <v/>
      </c>
    </row>
    <row r="143" customFormat="false" ht="15" hidden="false" customHeight="false" outlineLevel="0" collapsed="false">
      <c r="A143" s="25"/>
      <c r="B143" s="20"/>
      <c r="C143" s="20"/>
      <c r="D143" s="7" t="str">
        <f aca="false">IF(C143="","",IFERROR(INDEX(Productos!$A$5:$A$104,MATCH(C143,Productos!$B$5:$B$104,0)),""))</f>
        <v/>
      </c>
      <c r="E143" s="7" t="str">
        <f aca="false">IF(C143="","",IFERROR(INDEX(Productos!$C$5:$C$104,MATCH(C143,Productos!$B$5:$B$104,0)),""))</f>
        <v/>
      </c>
      <c r="F143" s="21"/>
      <c r="G143" s="11" t="str">
        <f aca="false">IF(C143="","",IFERROR(INDEX(Productos!$G$5:$G$104,MATCH(C143,Productos!$B$5:$B$104,0)),0))</f>
        <v/>
      </c>
      <c r="H143" s="26"/>
      <c r="I143" s="11" t="str">
        <f aca="false">IF(C143="","",F143*G143*(1-H143))</f>
        <v/>
      </c>
      <c r="J143" s="20"/>
      <c r="K143" s="20"/>
      <c r="L143" s="11" t="str">
        <f aca="false">IF(C143="","",F143*IFERROR(INDEX(Productos!$F$5:$F$104,MATCH(C143,Productos!$B$5:$B$104,0)),0))</f>
        <v/>
      </c>
      <c r="M143" s="11" t="str">
        <f aca="false">IF(C143="","",I143-L143)</f>
        <v/>
      </c>
    </row>
    <row r="144" customFormat="false" ht="15" hidden="false" customHeight="false" outlineLevel="0" collapsed="false">
      <c r="A144" s="25"/>
      <c r="B144" s="20"/>
      <c r="C144" s="20"/>
      <c r="D144" s="7" t="str">
        <f aca="false">IF(C144="","",IFERROR(INDEX(Productos!$A$5:$A$104,MATCH(C144,Productos!$B$5:$B$104,0)),""))</f>
        <v/>
      </c>
      <c r="E144" s="7" t="str">
        <f aca="false">IF(C144="","",IFERROR(INDEX(Productos!$C$5:$C$104,MATCH(C144,Productos!$B$5:$B$104,0)),""))</f>
        <v/>
      </c>
      <c r="F144" s="21"/>
      <c r="G144" s="11" t="str">
        <f aca="false">IF(C144="","",IFERROR(INDEX(Productos!$G$5:$G$104,MATCH(C144,Productos!$B$5:$B$104,0)),0))</f>
        <v/>
      </c>
      <c r="H144" s="26"/>
      <c r="I144" s="11" t="str">
        <f aca="false">IF(C144="","",F144*G144*(1-H144))</f>
        <v/>
      </c>
      <c r="J144" s="20"/>
      <c r="K144" s="20"/>
      <c r="L144" s="11" t="str">
        <f aca="false">IF(C144="","",F144*IFERROR(INDEX(Productos!$F$5:$F$104,MATCH(C144,Productos!$B$5:$B$104,0)),0))</f>
        <v/>
      </c>
      <c r="M144" s="11" t="str">
        <f aca="false">IF(C144="","",I144-L144)</f>
        <v/>
      </c>
    </row>
    <row r="145" customFormat="false" ht="15" hidden="false" customHeight="false" outlineLevel="0" collapsed="false">
      <c r="A145" s="25"/>
      <c r="B145" s="20"/>
      <c r="C145" s="20"/>
      <c r="D145" s="7" t="str">
        <f aca="false">IF(C145="","",IFERROR(INDEX(Productos!$A$5:$A$104,MATCH(C145,Productos!$B$5:$B$104,0)),""))</f>
        <v/>
      </c>
      <c r="E145" s="7" t="str">
        <f aca="false">IF(C145="","",IFERROR(INDEX(Productos!$C$5:$C$104,MATCH(C145,Productos!$B$5:$B$104,0)),""))</f>
        <v/>
      </c>
      <c r="F145" s="21"/>
      <c r="G145" s="11" t="str">
        <f aca="false">IF(C145="","",IFERROR(INDEX(Productos!$G$5:$G$104,MATCH(C145,Productos!$B$5:$B$104,0)),0))</f>
        <v/>
      </c>
      <c r="H145" s="26"/>
      <c r="I145" s="11" t="str">
        <f aca="false">IF(C145="","",F145*G145*(1-H145))</f>
        <v/>
      </c>
      <c r="J145" s="20"/>
      <c r="K145" s="20"/>
      <c r="L145" s="11" t="str">
        <f aca="false">IF(C145="","",F145*IFERROR(INDEX(Productos!$F$5:$F$104,MATCH(C145,Productos!$B$5:$B$104,0)),0))</f>
        <v/>
      </c>
      <c r="M145" s="11" t="str">
        <f aca="false">IF(C145="","",I145-L145)</f>
        <v/>
      </c>
    </row>
    <row r="146" customFormat="false" ht="15" hidden="false" customHeight="false" outlineLevel="0" collapsed="false">
      <c r="A146" s="25"/>
      <c r="B146" s="20"/>
      <c r="C146" s="20"/>
      <c r="D146" s="7" t="str">
        <f aca="false">IF(C146="","",IFERROR(INDEX(Productos!$A$5:$A$104,MATCH(C146,Productos!$B$5:$B$104,0)),""))</f>
        <v/>
      </c>
      <c r="E146" s="7" t="str">
        <f aca="false">IF(C146="","",IFERROR(INDEX(Productos!$C$5:$C$104,MATCH(C146,Productos!$B$5:$B$104,0)),""))</f>
        <v/>
      </c>
      <c r="F146" s="21"/>
      <c r="G146" s="11" t="str">
        <f aca="false">IF(C146="","",IFERROR(INDEX(Productos!$G$5:$G$104,MATCH(C146,Productos!$B$5:$B$104,0)),0))</f>
        <v/>
      </c>
      <c r="H146" s="26"/>
      <c r="I146" s="11" t="str">
        <f aca="false">IF(C146="","",F146*G146*(1-H146))</f>
        <v/>
      </c>
      <c r="J146" s="20"/>
      <c r="K146" s="20"/>
      <c r="L146" s="11" t="str">
        <f aca="false">IF(C146="","",F146*IFERROR(INDEX(Productos!$F$5:$F$104,MATCH(C146,Productos!$B$5:$B$104,0)),0))</f>
        <v/>
      </c>
      <c r="M146" s="11" t="str">
        <f aca="false">IF(C146="","",I146-L146)</f>
        <v/>
      </c>
    </row>
    <row r="147" customFormat="false" ht="15" hidden="false" customHeight="false" outlineLevel="0" collapsed="false">
      <c r="A147" s="25"/>
      <c r="B147" s="20"/>
      <c r="C147" s="20"/>
      <c r="D147" s="7" t="str">
        <f aca="false">IF(C147="","",IFERROR(INDEX(Productos!$A$5:$A$104,MATCH(C147,Productos!$B$5:$B$104,0)),""))</f>
        <v/>
      </c>
      <c r="E147" s="7" t="str">
        <f aca="false">IF(C147="","",IFERROR(INDEX(Productos!$C$5:$C$104,MATCH(C147,Productos!$B$5:$B$104,0)),""))</f>
        <v/>
      </c>
      <c r="F147" s="21"/>
      <c r="G147" s="11" t="str">
        <f aca="false">IF(C147="","",IFERROR(INDEX(Productos!$G$5:$G$104,MATCH(C147,Productos!$B$5:$B$104,0)),0))</f>
        <v/>
      </c>
      <c r="H147" s="26"/>
      <c r="I147" s="11" t="str">
        <f aca="false">IF(C147="","",F147*G147*(1-H147))</f>
        <v/>
      </c>
      <c r="J147" s="20"/>
      <c r="K147" s="20"/>
      <c r="L147" s="11" t="str">
        <f aca="false">IF(C147="","",F147*IFERROR(INDEX(Productos!$F$5:$F$104,MATCH(C147,Productos!$B$5:$B$104,0)),0))</f>
        <v/>
      </c>
      <c r="M147" s="11" t="str">
        <f aca="false">IF(C147="","",I147-L147)</f>
        <v/>
      </c>
    </row>
    <row r="148" customFormat="false" ht="15" hidden="false" customHeight="false" outlineLevel="0" collapsed="false">
      <c r="A148" s="25"/>
      <c r="B148" s="20"/>
      <c r="C148" s="20"/>
      <c r="D148" s="7" t="str">
        <f aca="false">IF(C148="","",IFERROR(INDEX(Productos!$A$5:$A$104,MATCH(C148,Productos!$B$5:$B$104,0)),""))</f>
        <v/>
      </c>
      <c r="E148" s="7" t="str">
        <f aca="false">IF(C148="","",IFERROR(INDEX(Productos!$C$5:$C$104,MATCH(C148,Productos!$B$5:$B$104,0)),""))</f>
        <v/>
      </c>
      <c r="F148" s="21"/>
      <c r="G148" s="11" t="str">
        <f aca="false">IF(C148="","",IFERROR(INDEX(Productos!$G$5:$G$104,MATCH(C148,Productos!$B$5:$B$104,0)),0))</f>
        <v/>
      </c>
      <c r="H148" s="26"/>
      <c r="I148" s="11" t="str">
        <f aca="false">IF(C148="","",F148*G148*(1-H148))</f>
        <v/>
      </c>
      <c r="J148" s="20"/>
      <c r="K148" s="20"/>
      <c r="L148" s="11" t="str">
        <f aca="false">IF(C148="","",F148*IFERROR(INDEX(Productos!$F$5:$F$104,MATCH(C148,Productos!$B$5:$B$104,0)),0))</f>
        <v/>
      </c>
      <c r="M148" s="11" t="str">
        <f aca="false">IF(C148="","",I148-L148)</f>
        <v/>
      </c>
    </row>
    <row r="149" customFormat="false" ht="15" hidden="false" customHeight="false" outlineLevel="0" collapsed="false">
      <c r="A149" s="25"/>
      <c r="B149" s="20"/>
      <c r="C149" s="20"/>
      <c r="D149" s="7" t="str">
        <f aca="false">IF(C149="","",IFERROR(INDEX(Productos!$A$5:$A$104,MATCH(C149,Productos!$B$5:$B$104,0)),""))</f>
        <v/>
      </c>
      <c r="E149" s="7" t="str">
        <f aca="false">IF(C149="","",IFERROR(INDEX(Productos!$C$5:$C$104,MATCH(C149,Productos!$B$5:$B$104,0)),""))</f>
        <v/>
      </c>
      <c r="F149" s="21"/>
      <c r="G149" s="11" t="str">
        <f aca="false">IF(C149="","",IFERROR(INDEX(Productos!$G$5:$G$104,MATCH(C149,Productos!$B$5:$B$104,0)),0))</f>
        <v/>
      </c>
      <c r="H149" s="26"/>
      <c r="I149" s="11" t="str">
        <f aca="false">IF(C149="","",F149*G149*(1-H149))</f>
        <v/>
      </c>
      <c r="J149" s="20"/>
      <c r="K149" s="20"/>
      <c r="L149" s="11" t="str">
        <f aca="false">IF(C149="","",F149*IFERROR(INDEX(Productos!$F$5:$F$104,MATCH(C149,Productos!$B$5:$B$104,0)),0))</f>
        <v/>
      </c>
      <c r="M149" s="11" t="str">
        <f aca="false">IF(C149="","",I149-L149)</f>
        <v/>
      </c>
    </row>
    <row r="150" customFormat="false" ht="15" hidden="false" customHeight="false" outlineLevel="0" collapsed="false">
      <c r="A150" s="25"/>
      <c r="B150" s="20"/>
      <c r="C150" s="20"/>
      <c r="D150" s="7" t="str">
        <f aca="false">IF(C150="","",IFERROR(INDEX(Productos!$A$5:$A$104,MATCH(C150,Productos!$B$5:$B$104,0)),""))</f>
        <v/>
      </c>
      <c r="E150" s="7" t="str">
        <f aca="false">IF(C150="","",IFERROR(INDEX(Productos!$C$5:$C$104,MATCH(C150,Productos!$B$5:$B$104,0)),""))</f>
        <v/>
      </c>
      <c r="F150" s="21"/>
      <c r="G150" s="11" t="str">
        <f aca="false">IF(C150="","",IFERROR(INDEX(Productos!$G$5:$G$104,MATCH(C150,Productos!$B$5:$B$104,0)),0))</f>
        <v/>
      </c>
      <c r="H150" s="26"/>
      <c r="I150" s="11" t="str">
        <f aca="false">IF(C150="","",F150*G150*(1-H150))</f>
        <v/>
      </c>
      <c r="J150" s="20"/>
      <c r="K150" s="20"/>
      <c r="L150" s="11" t="str">
        <f aca="false">IF(C150="","",F150*IFERROR(INDEX(Productos!$F$5:$F$104,MATCH(C150,Productos!$B$5:$B$104,0)),0))</f>
        <v/>
      </c>
      <c r="M150" s="11" t="str">
        <f aca="false">IF(C150="","",I150-L150)</f>
        <v/>
      </c>
    </row>
    <row r="151" customFormat="false" ht="15" hidden="false" customHeight="false" outlineLevel="0" collapsed="false">
      <c r="A151" s="25"/>
      <c r="B151" s="20"/>
      <c r="C151" s="20"/>
      <c r="D151" s="7" t="str">
        <f aca="false">IF(C151="","",IFERROR(INDEX(Productos!$A$5:$A$104,MATCH(C151,Productos!$B$5:$B$104,0)),""))</f>
        <v/>
      </c>
      <c r="E151" s="7" t="str">
        <f aca="false">IF(C151="","",IFERROR(INDEX(Productos!$C$5:$C$104,MATCH(C151,Productos!$B$5:$B$104,0)),""))</f>
        <v/>
      </c>
      <c r="F151" s="21"/>
      <c r="G151" s="11" t="str">
        <f aca="false">IF(C151="","",IFERROR(INDEX(Productos!$G$5:$G$104,MATCH(C151,Productos!$B$5:$B$104,0)),0))</f>
        <v/>
      </c>
      <c r="H151" s="26"/>
      <c r="I151" s="11" t="str">
        <f aca="false">IF(C151="","",F151*G151*(1-H151))</f>
        <v/>
      </c>
      <c r="J151" s="20"/>
      <c r="K151" s="20"/>
      <c r="L151" s="11" t="str">
        <f aca="false">IF(C151="","",F151*IFERROR(INDEX(Productos!$F$5:$F$104,MATCH(C151,Productos!$B$5:$B$104,0)),0))</f>
        <v/>
      </c>
      <c r="M151" s="11" t="str">
        <f aca="false">IF(C151="","",I151-L151)</f>
        <v/>
      </c>
    </row>
    <row r="152" customFormat="false" ht="15" hidden="false" customHeight="false" outlineLevel="0" collapsed="false">
      <c r="A152" s="25"/>
      <c r="B152" s="20"/>
      <c r="C152" s="20"/>
      <c r="D152" s="7" t="str">
        <f aca="false">IF(C152="","",IFERROR(INDEX(Productos!$A$5:$A$104,MATCH(C152,Productos!$B$5:$B$104,0)),""))</f>
        <v/>
      </c>
      <c r="E152" s="7" t="str">
        <f aca="false">IF(C152="","",IFERROR(INDEX(Productos!$C$5:$C$104,MATCH(C152,Productos!$B$5:$B$104,0)),""))</f>
        <v/>
      </c>
      <c r="F152" s="21"/>
      <c r="G152" s="11" t="str">
        <f aca="false">IF(C152="","",IFERROR(INDEX(Productos!$G$5:$G$104,MATCH(C152,Productos!$B$5:$B$104,0)),0))</f>
        <v/>
      </c>
      <c r="H152" s="26"/>
      <c r="I152" s="11" t="str">
        <f aca="false">IF(C152="","",F152*G152*(1-H152))</f>
        <v/>
      </c>
      <c r="J152" s="20"/>
      <c r="K152" s="20"/>
      <c r="L152" s="11" t="str">
        <f aca="false">IF(C152="","",F152*IFERROR(INDEX(Productos!$F$5:$F$104,MATCH(C152,Productos!$B$5:$B$104,0)),0))</f>
        <v/>
      </c>
      <c r="M152" s="11" t="str">
        <f aca="false">IF(C152="","",I152-L152)</f>
        <v/>
      </c>
    </row>
    <row r="153" customFormat="false" ht="15" hidden="false" customHeight="false" outlineLevel="0" collapsed="false">
      <c r="A153" s="25"/>
      <c r="B153" s="20"/>
      <c r="C153" s="20"/>
      <c r="D153" s="7" t="str">
        <f aca="false">IF(C153="","",IFERROR(INDEX(Productos!$A$5:$A$104,MATCH(C153,Productos!$B$5:$B$104,0)),""))</f>
        <v/>
      </c>
      <c r="E153" s="7" t="str">
        <f aca="false">IF(C153="","",IFERROR(INDEX(Productos!$C$5:$C$104,MATCH(C153,Productos!$B$5:$B$104,0)),""))</f>
        <v/>
      </c>
      <c r="F153" s="21"/>
      <c r="G153" s="11" t="str">
        <f aca="false">IF(C153="","",IFERROR(INDEX(Productos!$G$5:$G$104,MATCH(C153,Productos!$B$5:$B$104,0)),0))</f>
        <v/>
      </c>
      <c r="H153" s="26"/>
      <c r="I153" s="11" t="str">
        <f aca="false">IF(C153="","",F153*G153*(1-H153))</f>
        <v/>
      </c>
      <c r="J153" s="20"/>
      <c r="K153" s="20"/>
      <c r="L153" s="11" t="str">
        <f aca="false">IF(C153="","",F153*IFERROR(INDEX(Productos!$F$5:$F$104,MATCH(C153,Productos!$B$5:$B$104,0)),0))</f>
        <v/>
      </c>
      <c r="M153" s="11" t="str">
        <f aca="false">IF(C153="","",I153-L153)</f>
        <v/>
      </c>
    </row>
    <row r="154" customFormat="false" ht="15" hidden="false" customHeight="false" outlineLevel="0" collapsed="false">
      <c r="A154" s="25"/>
      <c r="B154" s="20"/>
      <c r="C154" s="20"/>
      <c r="D154" s="7" t="str">
        <f aca="false">IF(C154="","",IFERROR(INDEX(Productos!$A$5:$A$104,MATCH(C154,Productos!$B$5:$B$104,0)),""))</f>
        <v/>
      </c>
      <c r="E154" s="7" t="str">
        <f aca="false">IF(C154="","",IFERROR(INDEX(Productos!$C$5:$C$104,MATCH(C154,Productos!$B$5:$B$104,0)),""))</f>
        <v/>
      </c>
      <c r="F154" s="21"/>
      <c r="G154" s="11" t="str">
        <f aca="false">IF(C154="","",IFERROR(INDEX(Productos!$G$5:$G$104,MATCH(C154,Productos!$B$5:$B$104,0)),0))</f>
        <v/>
      </c>
      <c r="H154" s="26"/>
      <c r="I154" s="11" t="str">
        <f aca="false">IF(C154="","",F154*G154*(1-H154))</f>
        <v/>
      </c>
      <c r="J154" s="20"/>
      <c r="K154" s="20"/>
      <c r="L154" s="11" t="str">
        <f aca="false">IF(C154="","",F154*IFERROR(INDEX(Productos!$F$5:$F$104,MATCH(C154,Productos!$B$5:$B$104,0)),0))</f>
        <v/>
      </c>
      <c r="M154" s="11" t="str">
        <f aca="false">IF(C154="","",I154-L154)</f>
        <v/>
      </c>
    </row>
    <row r="155" customFormat="false" ht="15" hidden="false" customHeight="false" outlineLevel="0" collapsed="false">
      <c r="A155" s="25"/>
      <c r="B155" s="20"/>
      <c r="C155" s="20"/>
      <c r="D155" s="7" t="str">
        <f aca="false">IF(C155="","",IFERROR(INDEX(Productos!$A$5:$A$104,MATCH(C155,Productos!$B$5:$B$104,0)),""))</f>
        <v/>
      </c>
      <c r="E155" s="7" t="str">
        <f aca="false">IF(C155="","",IFERROR(INDEX(Productos!$C$5:$C$104,MATCH(C155,Productos!$B$5:$B$104,0)),""))</f>
        <v/>
      </c>
      <c r="F155" s="21"/>
      <c r="G155" s="11" t="str">
        <f aca="false">IF(C155="","",IFERROR(INDEX(Productos!$G$5:$G$104,MATCH(C155,Productos!$B$5:$B$104,0)),0))</f>
        <v/>
      </c>
      <c r="H155" s="26"/>
      <c r="I155" s="11" t="str">
        <f aca="false">IF(C155="","",F155*G155*(1-H155))</f>
        <v/>
      </c>
      <c r="J155" s="20"/>
      <c r="K155" s="20"/>
      <c r="L155" s="11" t="str">
        <f aca="false">IF(C155="","",F155*IFERROR(INDEX(Productos!$F$5:$F$104,MATCH(C155,Productos!$B$5:$B$104,0)),0))</f>
        <v/>
      </c>
      <c r="M155" s="11" t="str">
        <f aca="false">IF(C155="","",I155-L155)</f>
        <v/>
      </c>
    </row>
    <row r="156" customFormat="false" ht="15" hidden="false" customHeight="false" outlineLevel="0" collapsed="false">
      <c r="A156" s="25"/>
      <c r="B156" s="20"/>
      <c r="C156" s="20"/>
      <c r="D156" s="7" t="str">
        <f aca="false">IF(C156="","",IFERROR(INDEX(Productos!$A$5:$A$104,MATCH(C156,Productos!$B$5:$B$104,0)),""))</f>
        <v/>
      </c>
      <c r="E156" s="7" t="str">
        <f aca="false">IF(C156="","",IFERROR(INDEX(Productos!$C$5:$C$104,MATCH(C156,Productos!$B$5:$B$104,0)),""))</f>
        <v/>
      </c>
      <c r="F156" s="21"/>
      <c r="G156" s="11" t="str">
        <f aca="false">IF(C156="","",IFERROR(INDEX(Productos!$G$5:$G$104,MATCH(C156,Productos!$B$5:$B$104,0)),0))</f>
        <v/>
      </c>
      <c r="H156" s="26"/>
      <c r="I156" s="11" t="str">
        <f aca="false">IF(C156="","",F156*G156*(1-H156))</f>
        <v/>
      </c>
      <c r="J156" s="20"/>
      <c r="K156" s="20"/>
      <c r="L156" s="11" t="str">
        <f aca="false">IF(C156="","",F156*IFERROR(INDEX(Productos!$F$5:$F$104,MATCH(C156,Productos!$B$5:$B$104,0)),0))</f>
        <v/>
      </c>
      <c r="M156" s="11" t="str">
        <f aca="false">IF(C156="","",I156-L156)</f>
        <v/>
      </c>
    </row>
    <row r="157" customFormat="false" ht="15" hidden="false" customHeight="false" outlineLevel="0" collapsed="false">
      <c r="A157" s="25"/>
      <c r="B157" s="20"/>
      <c r="C157" s="20"/>
      <c r="D157" s="7" t="str">
        <f aca="false">IF(C157="","",IFERROR(INDEX(Productos!$A$5:$A$104,MATCH(C157,Productos!$B$5:$B$104,0)),""))</f>
        <v/>
      </c>
      <c r="E157" s="7" t="str">
        <f aca="false">IF(C157="","",IFERROR(INDEX(Productos!$C$5:$C$104,MATCH(C157,Productos!$B$5:$B$104,0)),""))</f>
        <v/>
      </c>
      <c r="F157" s="21"/>
      <c r="G157" s="11" t="str">
        <f aca="false">IF(C157="","",IFERROR(INDEX(Productos!$G$5:$G$104,MATCH(C157,Productos!$B$5:$B$104,0)),0))</f>
        <v/>
      </c>
      <c r="H157" s="26"/>
      <c r="I157" s="11" t="str">
        <f aca="false">IF(C157="","",F157*G157*(1-H157))</f>
        <v/>
      </c>
      <c r="J157" s="20"/>
      <c r="K157" s="20"/>
      <c r="L157" s="11" t="str">
        <f aca="false">IF(C157="","",F157*IFERROR(INDEX(Productos!$F$5:$F$104,MATCH(C157,Productos!$B$5:$B$104,0)),0))</f>
        <v/>
      </c>
      <c r="M157" s="11" t="str">
        <f aca="false">IF(C157="","",I157-L157)</f>
        <v/>
      </c>
    </row>
    <row r="158" customFormat="false" ht="15" hidden="false" customHeight="false" outlineLevel="0" collapsed="false">
      <c r="A158" s="25"/>
      <c r="B158" s="20"/>
      <c r="C158" s="20"/>
      <c r="D158" s="7" t="str">
        <f aca="false">IF(C158="","",IFERROR(INDEX(Productos!$A$5:$A$104,MATCH(C158,Productos!$B$5:$B$104,0)),""))</f>
        <v/>
      </c>
      <c r="E158" s="7" t="str">
        <f aca="false">IF(C158="","",IFERROR(INDEX(Productos!$C$5:$C$104,MATCH(C158,Productos!$B$5:$B$104,0)),""))</f>
        <v/>
      </c>
      <c r="F158" s="21"/>
      <c r="G158" s="11" t="str">
        <f aca="false">IF(C158="","",IFERROR(INDEX(Productos!$G$5:$G$104,MATCH(C158,Productos!$B$5:$B$104,0)),0))</f>
        <v/>
      </c>
      <c r="H158" s="26"/>
      <c r="I158" s="11" t="str">
        <f aca="false">IF(C158="","",F158*G158*(1-H158))</f>
        <v/>
      </c>
      <c r="J158" s="20"/>
      <c r="K158" s="20"/>
      <c r="L158" s="11" t="str">
        <f aca="false">IF(C158="","",F158*IFERROR(INDEX(Productos!$F$5:$F$104,MATCH(C158,Productos!$B$5:$B$104,0)),0))</f>
        <v/>
      </c>
      <c r="M158" s="11" t="str">
        <f aca="false">IF(C158="","",I158-L158)</f>
        <v/>
      </c>
    </row>
    <row r="159" customFormat="false" ht="15" hidden="false" customHeight="false" outlineLevel="0" collapsed="false">
      <c r="A159" s="25"/>
      <c r="B159" s="20"/>
      <c r="C159" s="20"/>
      <c r="D159" s="7" t="str">
        <f aca="false">IF(C159="","",IFERROR(INDEX(Productos!$A$5:$A$104,MATCH(C159,Productos!$B$5:$B$104,0)),""))</f>
        <v/>
      </c>
      <c r="E159" s="7" t="str">
        <f aca="false">IF(C159="","",IFERROR(INDEX(Productos!$C$5:$C$104,MATCH(C159,Productos!$B$5:$B$104,0)),""))</f>
        <v/>
      </c>
      <c r="F159" s="21"/>
      <c r="G159" s="11" t="str">
        <f aca="false">IF(C159="","",IFERROR(INDEX(Productos!$G$5:$G$104,MATCH(C159,Productos!$B$5:$B$104,0)),0))</f>
        <v/>
      </c>
      <c r="H159" s="26"/>
      <c r="I159" s="11" t="str">
        <f aca="false">IF(C159="","",F159*G159*(1-H159))</f>
        <v/>
      </c>
      <c r="J159" s="20"/>
      <c r="K159" s="20"/>
      <c r="L159" s="11" t="str">
        <f aca="false">IF(C159="","",F159*IFERROR(INDEX(Productos!$F$5:$F$104,MATCH(C159,Productos!$B$5:$B$104,0)),0))</f>
        <v/>
      </c>
      <c r="M159" s="11" t="str">
        <f aca="false">IF(C159="","",I159-L159)</f>
        <v/>
      </c>
    </row>
    <row r="160" customFormat="false" ht="15" hidden="false" customHeight="false" outlineLevel="0" collapsed="false">
      <c r="A160" s="25"/>
      <c r="B160" s="20"/>
      <c r="C160" s="20"/>
      <c r="D160" s="7" t="str">
        <f aca="false">IF(C160="","",IFERROR(INDEX(Productos!$A$5:$A$104,MATCH(C160,Productos!$B$5:$B$104,0)),""))</f>
        <v/>
      </c>
      <c r="E160" s="7" t="str">
        <f aca="false">IF(C160="","",IFERROR(INDEX(Productos!$C$5:$C$104,MATCH(C160,Productos!$B$5:$B$104,0)),""))</f>
        <v/>
      </c>
      <c r="F160" s="21"/>
      <c r="G160" s="11" t="str">
        <f aca="false">IF(C160="","",IFERROR(INDEX(Productos!$G$5:$G$104,MATCH(C160,Productos!$B$5:$B$104,0)),0))</f>
        <v/>
      </c>
      <c r="H160" s="26"/>
      <c r="I160" s="11" t="str">
        <f aca="false">IF(C160="","",F160*G160*(1-H160))</f>
        <v/>
      </c>
      <c r="J160" s="20"/>
      <c r="K160" s="20"/>
      <c r="L160" s="11" t="str">
        <f aca="false">IF(C160="","",F160*IFERROR(INDEX(Productos!$F$5:$F$104,MATCH(C160,Productos!$B$5:$B$104,0)),0))</f>
        <v/>
      </c>
      <c r="M160" s="11" t="str">
        <f aca="false">IF(C160="","",I160-L160)</f>
        <v/>
      </c>
    </row>
    <row r="161" customFormat="false" ht="15" hidden="false" customHeight="false" outlineLevel="0" collapsed="false">
      <c r="A161" s="25"/>
      <c r="B161" s="20"/>
      <c r="C161" s="20"/>
      <c r="D161" s="7" t="str">
        <f aca="false">IF(C161="","",IFERROR(INDEX(Productos!$A$5:$A$104,MATCH(C161,Productos!$B$5:$B$104,0)),""))</f>
        <v/>
      </c>
      <c r="E161" s="7" t="str">
        <f aca="false">IF(C161="","",IFERROR(INDEX(Productos!$C$5:$C$104,MATCH(C161,Productos!$B$5:$B$104,0)),""))</f>
        <v/>
      </c>
      <c r="F161" s="21"/>
      <c r="G161" s="11" t="str">
        <f aca="false">IF(C161="","",IFERROR(INDEX(Productos!$G$5:$G$104,MATCH(C161,Productos!$B$5:$B$104,0)),0))</f>
        <v/>
      </c>
      <c r="H161" s="26"/>
      <c r="I161" s="11" t="str">
        <f aca="false">IF(C161="","",F161*G161*(1-H161))</f>
        <v/>
      </c>
      <c r="J161" s="20"/>
      <c r="K161" s="20"/>
      <c r="L161" s="11" t="str">
        <f aca="false">IF(C161="","",F161*IFERROR(INDEX(Productos!$F$5:$F$104,MATCH(C161,Productos!$B$5:$B$104,0)),0))</f>
        <v/>
      </c>
      <c r="M161" s="11" t="str">
        <f aca="false">IF(C161="","",I161-L161)</f>
        <v/>
      </c>
    </row>
    <row r="162" customFormat="false" ht="15" hidden="false" customHeight="false" outlineLevel="0" collapsed="false">
      <c r="A162" s="25"/>
      <c r="B162" s="20"/>
      <c r="C162" s="20"/>
      <c r="D162" s="7" t="str">
        <f aca="false">IF(C162="","",IFERROR(INDEX(Productos!$A$5:$A$104,MATCH(C162,Productos!$B$5:$B$104,0)),""))</f>
        <v/>
      </c>
      <c r="E162" s="7" t="str">
        <f aca="false">IF(C162="","",IFERROR(INDEX(Productos!$C$5:$C$104,MATCH(C162,Productos!$B$5:$B$104,0)),""))</f>
        <v/>
      </c>
      <c r="F162" s="21"/>
      <c r="G162" s="11" t="str">
        <f aca="false">IF(C162="","",IFERROR(INDEX(Productos!$G$5:$G$104,MATCH(C162,Productos!$B$5:$B$104,0)),0))</f>
        <v/>
      </c>
      <c r="H162" s="26"/>
      <c r="I162" s="11" t="str">
        <f aca="false">IF(C162="","",F162*G162*(1-H162))</f>
        <v/>
      </c>
      <c r="J162" s="20"/>
      <c r="K162" s="20"/>
      <c r="L162" s="11" t="str">
        <f aca="false">IF(C162="","",F162*IFERROR(INDEX(Productos!$F$5:$F$104,MATCH(C162,Productos!$B$5:$B$104,0)),0))</f>
        <v/>
      </c>
      <c r="M162" s="11" t="str">
        <f aca="false">IF(C162="","",I162-L162)</f>
        <v/>
      </c>
    </row>
    <row r="163" customFormat="false" ht="15" hidden="false" customHeight="false" outlineLevel="0" collapsed="false">
      <c r="A163" s="25"/>
      <c r="B163" s="20"/>
      <c r="C163" s="20"/>
      <c r="D163" s="7" t="str">
        <f aca="false">IF(C163="","",IFERROR(INDEX(Productos!$A$5:$A$104,MATCH(C163,Productos!$B$5:$B$104,0)),""))</f>
        <v/>
      </c>
      <c r="E163" s="7" t="str">
        <f aca="false">IF(C163="","",IFERROR(INDEX(Productos!$C$5:$C$104,MATCH(C163,Productos!$B$5:$B$104,0)),""))</f>
        <v/>
      </c>
      <c r="F163" s="21"/>
      <c r="G163" s="11" t="str">
        <f aca="false">IF(C163="","",IFERROR(INDEX(Productos!$G$5:$G$104,MATCH(C163,Productos!$B$5:$B$104,0)),0))</f>
        <v/>
      </c>
      <c r="H163" s="26"/>
      <c r="I163" s="11" t="str">
        <f aca="false">IF(C163="","",F163*G163*(1-H163))</f>
        <v/>
      </c>
      <c r="J163" s="20"/>
      <c r="K163" s="20"/>
      <c r="L163" s="11" t="str">
        <f aca="false">IF(C163="","",F163*IFERROR(INDEX(Productos!$F$5:$F$104,MATCH(C163,Productos!$B$5:$B$104,0)),0))</f>
        <v/>
      </c>
      <c r="M163" s="11" t="str">
        <f aca="false">IF(C163="","",I163-L163)</f>
        <v/>
      </c>
    </row>
    <row r="164" customFormat="false" ht="15" hidden="false" customHeight="false" outlineLevel="0" collapsed="false">
      <c r="A164" s="25"/>
      <c r="B164" s="20"/>
      <c r="C164" s="20"/>
      <c r="D164" s="7" t="str">
        <f aca="false">IF(C164="","",IFERROR(INDEX(Productos!$A$5:$A$104,MATCH(C164,Productos!$B$5:$B$104,0)),""))</f>
        <v/>
      </c>
      <c r="E164" s="7" t="str">
        <f aca="false">IF(C164="","",IFERROR(INDEX(Productos!$C$5:$C$104,MATCH(C164,Productos!$B$5:$B$104,0)),""))</f>
        <v/>
      </c>
      <c r="F164" s="21"/>
      <c r="G164" s="11" t="str">
        <f aca="false">IF(C164="","",IFERROR(INDEX(Productos!$G$5:$G$104,MATCH(C164,Productos!$B$5:$B$104,0)),0))</f>
        <v/>
      </c>
      <c r="H164" s="26"/>
      <c r="I164" s="11" t="str">
        <f aca="false">IF(C164="","",F164*G164*(1-H164))</f>
        <v/>
      </c>
      <c r="J164" s="20"/>
      <c r="K164" s="20"/>
      <c r="L164" s="11" t="str">
        <f aca="false">IF(C164="","",F164*IFERROR(INDEX(Productos!$F$5:$F$104,MATCH(C164,Productos!$B$5:$B$104,0)),0))</f>
        <v/>
      </c>
      <c r="M164" s="11" t="str">
        <f aca="false">IF(C164="","",I164-L164)</f>
        <v/>
      </c>
    </row>
    <row r="165" customFormat="false" ht="15" hidden="false" customHeight="false" outlineLevel="0" collapsed="false">
      <c r="A165" s="25"/>
      <c r="B165" s="20"/>
      <c r="C165" s="20"/>
      <c r="D165" s="7" t="str">
        <f aca="false">IF(C165="","",IFERROR(INDEX(Productos!$A$5:$A$104,MATCH(C165,Productos!$B$5:$B$104,0)),""))</f>
        <v/>
      </c>
      <c r="E165" s="7" t="str">
        <f aca="false">IF(C165="","",IFERROR(INDEX(Productos!$C$5:$C$104,MATCH(C165,Productos!$B$5:$B$104,0)),""))</f>
        <v/>
      </c>
      <c r="F165" s="21"/>
      <c r="G165" s="11" t="str">
        <f aca="false">IF(C165="","",IFERROR(INDEX(Productos!$G$5:$G$104,MATCH(C165,Productos!$B$5:$B$104,0)),0))</f>
        <v/>
      </c>
      <c r="H165" s="26"/>
      <c r="I165" s="11" t="str">
        <f aca="false">IF(C165="","",F165*G165*(1-H165))</f>
        <v/>
      </c>
      <c r="J165" s="20"/>
      <c r="K165" s="20"/>
      <c r="L165" s="11" t="str">
        <f aca="false">IF(C165="","",F165*IFERROR(INDEX(Productos!$F$5:$F$104,MATCH(C165,Productos!$B$5:$B$104,0)),0))</f>
        <v/>
      </c>
      <c r="M165" s="11" t="str">
        <f aca="false">IF(C165="","",I165-L165)</f>
        <v/>
      </c>
    </row>
    <row r="166" customFormat="false" ht="15" hidden="false" customHeight="false" outlineLevel="0" collapsed="false">
      <c r="A166" s="25"/>
      <c r="B166" s="20"/>
      <c r="C166" s="20"/>
      <c r="D166" s="7" t="str">
        <f aca="false">IF(C166="","",IFERROR(INDEX(Productos!$A$5:$A$104,MATCH(C166,Productos!$B$5:$B$104,0)),""))</f>
        <v/>
      </c>
      <c r="E166" s="7" t="str">
        <f aca="false">IF(C166="","",IFERROR(INDEX(Productos!$C$5:$C$104,MATCH(C166,Productos!$B$5:$B$104,0)),""))</f>
        <v/>
      </c>
      <c r="F166" s="21"/>
      <c r="G166" s="11" t="str">
        <f aca="false">IF(C166="","",IFERROR(INDEX(Productos!$G$5:$G$104,MATCH(C166,Productos!$B$5:$B$104,0)),0))</f>
        <v/>
      </c>
      <c r="H166" s="26"/>
      <c r="I166" s="11" t="str">
        <f aca="false">IF(C166="","",F166*G166*(1-H166))</f>
        <v/>
      </c>
      <c r="J166" s="20"/>
      <c r="K166" s="20"/>
      <c r="L166" s="11" t="str">
        <f aca="false">IF(C166="","",F166*IFERROR(INDEX(Productos!$F$5:$F$104,MATCH(C166,Productos!$B$5:$B$104,0)),0))</f>
        <v/>
      </c>
      <c r="M166" s="11" t="str">
        <f aca="false">IF(C166="","",I166-L166)</f>
        <v/>
      </c>
    </row>
    <row r="167" customFormat="false" ht="15" hidden="false" customHeight="false" outlineLevel="0" collapsed="false">
      <c r="A167" s="25"/>
      <c r="B167" s="20"/>
      <c r="C167" s="20"/>
      <c r="D167" s="7" t="str">
        <f aca="false">IF(C167="","",IFERROR(INDEX(Productos!$A$5:$A$104,MATCH(C167,Productos!$B$5:$B$104,0)),""))</f>
        <v/>
      </c>
      <c r="E167" s="7" t="str">
        <f aca="false">IF(C167="","",IFERROR(INDEX(Productos!$C$5:$C$104,MATCH(C167,Productos!$B$5:$B$104,0)),""))</f>
        <v/>
      </c>
      <c r="F167" s="21"/>
      <c r="G167" s="11" t="str">
        <f aca="false">IF(C167="","",IFERROR(INDEX(Productos!$G$5:$G$104,MATCH(C167,Productos!$B$5:$B$104,0)),0))</f>
        <v/>
      </c>
      <c r="H167" s="26"/>
      <c r="I167" s="11" t="str">
        <f aca="false">IF(C167="","",F167*G167*(1-H167))</f>
        <v/>
      </c>
      <c r="J167" s="20"/>
      <c r="K167" s="20"/>
      <c r="L167" s="11" t="str">
        <f aca="false">IF(C167="","",F167*IFERROR(INDEX(Productos!$F$5:$F$104,MATCH(C167,Productos!$B$5:$B$104,0)),0))</f>
        <v/>
      </c>
      <c r="M167" s="11" t="str">
        <f aca="false">IF(C167="","",I167-L167)</f>
        <v/>
      </c>
    </row>
    <row r="168" customFormat="false" ht="15" hidden="false" customHeight="false" outlineLevel="0" collapsed="false">
      <c r="A168" s="25"/>
      <c r="B168" s="20"/>
      <c r="C168" s="20"/>
      <c r="D168" s="7" t="str">
        <f aca="false">IF(C168="","",IFERROR(INDEX(Productos!$A$5:$A$104,MATCH(C168,Productos!$B$5:$B$104,0)),""))</f>
        <v/>
      </c>
      <c r="E168" s="7" t="str">
        <f aca="false">IF(C168="","",IFERROR(INDEX(Productos!$C$5:$C$104,MATCH(C168,Productos!$B$5:$B$104,0)),""))</f>
        <v/>
      </c>
      <c r="F168" s="21"/>
      <c r="G168" s="11" t="str">
        <f aca="false">IF(C168="","",IFERROR(INDEX(Productos!$G$5:$G$104,MATCH(C168,Productos!$B$5:$B$104,0)),0))</f>
        <v/>
      </c>
      <c r="H168" s="26"/>
      <c r="I168" s="11" t="str">
        <f aca="false">IF(C168="","",F168*G168*(1-H168))</f>
        <v/>
      </c>
      <c r="J168" s="20"/>
      <c r="K168" s="20"/>
      <c r="L168" s="11" t="str">
        <f aca="false">IF(C168="","",F168*IFERROR(INDEX(Productos!$F$5:$F$104,MATCH(C168,Productos!$B$5:$B$104,0)),0))</f>
        <v/>
      </c>
      <c r="M168" s="11" t="str">
        <f aca="false">IF(C168="","",I168-L168)</f>
        <v/>
      </c>
    </row>
    <row r="169" customFormat="false" ht="15" hidden="false" customHeight="false" outlineLevel="0" collapsed="false">
      <c r="A169" s="25"/>
      <c r="B169" s="20"/>
      <c r="C169" s="20"/>
      <c r="D169" s="7" t="str">
        <f aca="false">IF(C169="","",IFERROR(INDEX(Productos!$A$5:$A$104,MATCH(C169,Productos!$B$5:$B$104,0)),""))</f>
        <v/>
      </c>
      <c r="E169" s="7" t="str">
        <f aca="false">IF(C169="","",IFERROR(INDEX(Productos!$C$5:$C$104,MATCH(C169,Productos!$B$5:$B$104,0)),""))</f>
        <v/>
      </c>
      <c r="F169" s="21"/>
      <c r="G169" s="11" t="str">
        <f aca="false">IF(C169="","",IFERROR(INDEX(Productos!$G$5:$G$104,MATCH(C169,Productos!$B$5:$B$104,0)),0))</f>
        <v/>
      </c>
      <c r="H169" s="26"/>
      <c r="I169" s="11" t="str">
        <f aca="false">IF(C169="","",F169*G169*(1-H169))</f>
        <v/>
      </c>
      <c r="J169" s="20"/>
      <c r="K169" s="20"/>
      <c r="L169" s="11" t="str">
        <f aca="false">IF(C169="","",F169*IFERROR(INDEX(Productos!$F$5:$F$104,MATCH(C169,Productos!$B$5:$B$104,0)),0))</f>
        <v/>
      </c>
      <c r="M169" s="11" t="str">
        <f aca="false">IF(C169="","",I169-L169)</f>
        <v/>
      </c>
    </row>
    <row r="170" customFormat="false" ht="15" hidden="false" customHeight="false" outlineLevel="0" collapsed="false">
      <c r="A170" s="25"/>
      <c r="B170" s="20"/>
      <c r="C170" s="20"/>
      <c r="D170" s="7" t="str">
        <f aca="false">IF(C170="","",IFERROR(INDEX(Productos!$A$5:$A$104,MATCH(C170,Productos!$B$5:$B$104,0)),""))</f>
        <v/>
      </c>
      <c r="E170" s="7" t="str">
        <f aca="false">IF(C170="","",IFERROR(INDEX(Productos!$C$5:$C$104,MATCH(C170,Productos!$B$5:$B$104,0)),""))</f>
        <v/>
      </c>
      <c r="F170" s="21"/>
      <c r="G170" s="11" t="str">
        <f aca="false">IF(C170="","",IFERROR(INDEX(Productos!$G$5:$G$104,MATCH(C170,Productos!$B$5:$B$104,0)),0))</f>
        <v/>
      </c>
      <c r="H170" s="26"/>
      <c r="I170" s="11" t="str">
        <f aca="false">IF(C170="","",F170*G170*(1-H170))</f>
        <v/>
      </c>
      <c r="J170" s="20"/>
      <c r="K170" s="20"/>
      <c r="L170" s="11" t="str">
        <f aca="false">IF(C170="","",F170*IFERROR(INDEX(Productos!$F$5:$F$104,MATCH(C170,Productos!$B$5:$B$104,0)),0))</f>
        <v/>
      </c>
      <c r="M170" s="11" t="str">
        <f aca="false">IF(C170="","",I170-L170)</f>
        <v/>
      </c>
    </row>
    <row r="171" customFormat="false" ht="15" hidden="false" customHeight="false" outlineLevel="0" collapsed="false">
      <c r="A171" s="25"/>
      <c r="B171" s="20"/>
      <c r="C171" s="20"/>
      <c r="D171" s="7" t="str">
        <f aca="false">IF(C171="","",IFERROR(INDEX(Productos!$A$5:$A$104,MATCH(C171,Productos!$B$5:$B$104,0)),""))</f>
        <v/>
      </c>
      <c r="E171" s="7" t="str">
        <f aca="false">IF(C171="","",IFERROR(INDEX(Productos!$C$5:$C$104,MATCH(C171,Productos!$B$5:$B$104,0)),""))</f>
        <v/>
      </c>
      <c r="F171" s="21"/>
      <c r="G171" s="11" t="str">
        <f aca="false">IF(C171="","",IFERROR(INDEX(Productos!$G$5:$G$104,MATCH(C171,Productos!$B$5:$B$104,0)),0))</f>
        <v/>
      </c>
      <c r="H171" s="26"/>
      <c r="I171" s="11" t="str">
        <f aca="false">IF(C171="","",F171*G171*(1-H171))</f>
        <v/>
      </c>
      <c r="J171" s="20"/>
      <c r="K171" s="20"/>
      <c r="L171" s="11" t="str">
        <f aca="false">IF(C171="","",F171*IFERROR(INDEX(Productos!$F$5:$F$104,MATCH(C171,Productos!$B$5:$B$104,0)),0))</f>
        <v/>
      </c>
      <c r="M171" s="11" t="str">
        <f aca="false">IF(C171="","",I171-L171)</f>
        <v/>
      </c>
    </row>
    <row r="172" customFormat="false" ht="15" hidden="false" customHeight="false" outlineLevel="0" collapsed="false">
      <c r="A172" s="25"/>
      <c r="B172" s="20"/>
      <c r="C172" s="20"/>
      <c r="D172" s="7" t="str">
        <f aca="false">IF(C172="","",IFERROR(INDEX(Productos!$A$5:$A$104,MATCH(C172,Productos!$B$5:$B$104,0)),""))</f>
        <v/>
      </c>
      <c r="E172" s="7" t="str">
        <f aca="false">IF(C172="","",IFERROR(INDEX(Productos!$C$5:$C$104,MATCH(C172,Productos!$B$5:$B$104,0)),""))</f>
        <v/>
      </c>
      <c r="F172" s="21"/>
      <c r="G172" s="11" t="str">
        <f aca="false">IF(C172="","",IFERROR(INDEX(Productos!$G$5:$G$104,MATCH(C172,Productos!$B$5:$B$104,0)),0))</f>
        <v/>
      </c>
      <c r="H172" s="26"/>
      <c r="I172" s="11" t="str">
        <f aca="false">IF(C172="","",F172*G172*(1-H172))</f>
        <v/>
      </c>
      <c r="J172" s="20"/>
      <c r="K172" s="20"/>
      <c r="L172" s="11" t="str">
        <f aca="false">IF(C172="","",F172*IFERROR(INDEX(Productos!$F$5:$F$104,MATCH(C172,Productos!$B$5:$B$104,0)),0))</f>
        <v/>
      </c>
      <c r="M172" s="11" t="str">
        <f aca="false">IF(C172="","",I172-L172)</f>
        <v/>
      </c>
    </row>
    <row r="173" customFormat="false" ht="15" hidden="false" customHeight="false" outlineLevel="0" collapsed="false">
      <c r="A173" s="25"/>
      <c r="B173" s="20"/>
      <c r="C173" s="20"/>
      <c r="D173" s="7" t="str">
        <f aca="false">IF(C173="","",IFERROR(INDEX(Productos!$A$5:$A$104,MATCH(C173,Productos!$B$5:$B$104,0)),""))</f>
        <v/>
      </c>
      <c r="E173" s="7" t="str">
        <f aca="false">IF(C173="","",IFERROR(INDEX(Productos!$C$5:$C$104,MATCH(C173,Productos!$B$5:$B$104,0)),""))</f>
        <v/>
      </c>
      <c r="F173" s="21"/>
      <c r="G173" s="11" t="str">
        <f aca="false">IF(C173="","",IFERROR(INDEX(Productos!$G$5:$G$104,MATCH(C173,Productos!$B$5:$B$104,0)),0))</f>
        <v/>
      </c>
      <c r="H173" s="26"/>
      <c r="I173" s="11" t="str">
        <f aca="false">IF(C173="","",F173*G173*(1-H173))</f>
        <v/>
      </c>
      <c r="J173" s="20"/>
      <c r="K173" s="20"/>
      <c r="L173" s="11" t="str">
        <f aca="false">IF(C173="","",F173*IFERROR(INDEX(Productos!$F$5:$F$104,MATCH(C173,Productos!$B$5:$B$104,0)),0))</f>
        <v/>
      </c>
      <c r="M173" s="11" t="str">
        <f aca="false">IF(C173="","",I173-L173)</f>
        <v/>
      </c>
    </row>
    <row r="174" customFormat="false" ht="15" hidden="false" customHeight="false" outlineLevel="0" collapsed="false">
      <c r="A174" s="25"/>
      <c r="B174" s="20"/>
      <c r="C174" s="20"/>
      <c r="D174" s="7" t="str">
        <f aca="false">IF(C174="","",IFERROR(INDEX(Productos!$A$5:$A$104,MATCH(C174,Productos!$B$5:$B$104,0)),""))</f>
        <v/>
      </c>
      <c r="E174" s="7" t="str">
        <f aca="false">IF(C174="","",IFERROR(INDEX(Productos!$C$5:$C$104,MATCH(C174,Productos!$B$5:$B$104,0)),""))</f>
        <v/>
      </c>
      <c r="F174" s="21"/>
      <c r="G174" s="11" t="str">
        <f aca="false">IF(C174="","",IFERROR(INDEX(Productos!$G$5:$G$104,MATCH(C174,Productos!$B$5:$B$104,0)),0))</f>
        <v/>
      </c>
      <c r="H174" s="26"/>
      <c r="I174" s="11" t="str">
        <f aca="false">IF(C174="","",F174*G174*(1-H174))</f>
        <v/>
      </c>
      <c r="J174" s="20"/>
      <c r="K174" s="20"/>
      <c r="L174" s="11" t="str">
        <f aca="false">IF(C174="","",F174*IFERROR(INDEX(Productos!$F$5:$F$104,MATCH(C174,Productos!$B$5:$B$104,0)),0))</f>
        <v/>
      </c>
      <c r="M174" s="11" t="str">
        <f aca="false">IF(C174="","",I174-L174)</f>
        <v/>
      </c>
    </row>
    <row r="175" customFormat="false" ht="15" hidden="false" customHeight="false" outlineLevel="0" collapsed="false">
      <c r="A175" s="25"/>
      <c r="B175" s="20"/>
      <c r="C175" s="20"/>
      <c r="D175" s="7" t="str">
        <f aca="false">IF(C175="","",IFERROR(INDEX(Productos!$A$5:$A$104,MATCH(C175,Productos!$B$5:$B$104,0)),""))</f>
        <v/>
      </c>
      <c r="E175" s="7" t="str">
        <f aca="false">IF(C175="","",IFERROR(INDEX(Productos!$C$5:$C$104,MATCH(C175,Productos!$B$5:$B$104,0)),""))</f>
        <v/>
      </c>
      <c r="F175" s="21"/>
      <c r="G175" s="11" t="str">
        <f aca="false">IF(C175="","",IFERROR(INDEX(Productos!$G$5:$G$104,MATCH(C175,Productos!$B$5:$B$104,0)),0))</f>
        <v/>
      </c>
      <c r="H175" s="26"/>
      <c r="I175" s="11" t="str">
        <f aca="false">IF(C175="","",F175*G175*(1-H175))</f>
        <v/>
      </c>
      <c r="J175" s="20"/>
      <c r="K175" s="20"/>
      <c r="L175" s="11" t="str">
        <f aca="false">IF(C175="","",F175*IFERROR(INDEX(Productos!$F$5:$F$104,MATCH(C175,Productos!$B$5:$B$104,0)),0))</f>
        <v/>
      </c>
      <c r="M175" s="11" t="str">
        <f aca="false">IF(C175="","",I175-L175)</f>
        <v/>
      </c>
    </row>
    <row r="176" customFormat="false" ht="15" hidden="false" customHeight="false" outlineLevel="0" collapsed="false">
      <c r="A176" s="25"/>
      <c r="B176" s="20"/>
      <c r="C176" s="20"/>
      <c r="D176" s="7" t="str">
        <f aca="false">IF(C176="","",IFERROR(INDEX(Productos!$A$5:$A$104,MATCH(C176,Productos!$B$5:$B$104,0)),""))</f>
        <v/>
      </c>
      <c r="E176" s="7" t="str">
        <f aca="false">IF(C176="","",IFERROR(INDEX(Productos!$C$5:$C$104,MATCH(C176,Productos!$B$5:$B$104,0)),""))</f>
        <v/>
      </c>
      <c r="F176" s="21"/>
      <c r="G176" s="11" t="str">
        <f aca="false">IF(C176="","",IFERROR(INDEX(Productos!$G$5:$G$104,MATCH(C176,Productos!$B$5:$B$104,0)),0))</f>
        <v/>
      </c>
      <c r="H176" s="26"/>
      <c r="I176" s="11" t="str">
        <f aca="false">IF(C176="","",F176*G176*(1-H176))</f>
        <v/>
      </c>
      <c r="J176" s="20"/>
      <c r="K176" s="20"/>
      <c r="L176" s="11" t="str">
        <f aca="false">IF(C176="","",F176*IFERROR(INDEX(Productos!$F$5:$F$104,MATCH(C176,Productos!$B$5:$B$104,0)),0))</f>
        <v/>
      </c>
      <c r="M176" s="11" t="str">
        <f aca="false">IF(C176="","",I176-L176)</f>
        <v/>
      </c>
    </row>
    <row r="177" customFormat="false" ht="15" hidden="false" customHeight="false" outlineLevel="0" collapsed="false">
      <c r="A177" s="25"/>
      <c r="B177" s="20"/>
      <c r="C177" s="20"/>
      <c r="D177" s="7" t="str">
        <f aca="false">IF(C177="","",IFERROR(INDEX(Productos!$A$5:$A$104,MATCH(C177,Productos!$B$5:$B$104,0)),""))</f>
        <v/>
      </c>
      <c r="E177" s="7" t="str">
        <f aca="false">IF(C177="","",IFERROR(INDEX(Productos!$C$5:$C$104,MATCH(C177,Productos!$B$5:$B$104,0)),""))</f>
        <v/>
      </c>
      <c r="F177" s="21"/>
      <c r="G177" s="11" t="str">
        <f aca="false">IF(C177="","",IFERROR(INDEX(Productos!$G$5:$G$104,MATCH(C177,Productos!$B$5:$B$104,0)),0))</f>
        <v/>
      </c>
      <c r="H177" s="26"/>
      <c r="I177" s="11" t="str">
        <f aca="false">IF(C177="","",F177*G177*(1-H177))</f>
        <v/>
      </c>
      <c r="J177" s="20"/>
      <c r="K177" s="20"/>
      <c r="L177" s="11" t="str">
        <f aca="false">IF(C177="","",F177*IFERROR(INDEX(Productos!$F$5:$F$104,MATCH(C177,Productos!$B$5:$B$104,0)),0))</f>
        <v/>
      </c>
      <c r="M177" s="11" t="str">
        <f aca="false">IF(C177="","",I177-L177)</f>
        <v/>
      </c>
    </row>
    <row r="178" customFormat="false" ht="15" hidden="false" customHeight="false" outlineLevel="0" collapsed="false">
      <c r="A178" s="25"/>
      <c r="B178" s="20"/>
      <c r="C178" s="20"/>
      <c r="D178" s="7" t="str">
        <f aca="false">IF(C178="","",IFERROR(INDEX(Productos!$A$5:$A$104,MATCH(C178,Productos!$B$5:$B$104,0)),""))</f>
        <v/>
      </c>
      <c r="E178" s="7" t="str">
        <f aca="false">IF(C178="","",IFERROR(INDEX(Productos!$C$5:$C$104,MATCH(C178,Productos!$B$5:$B$104,0)),""))</f>
        <v/>
      </c>
      <c r="F178" s="21"/>
      <c r="G178" s="11" t="str">
        <f aca="false">IF(C178="","",IFERROR(INDEX(Productos!$G$5:$G$104,MATCH(C178,Productos!$B$5:$B$104,0)),0))</f>
        <v/>
      </c>
      <c r="H178" s="26"/>
      <c r="I178" s="11" t="str">
        <f aca="false">IF(C178="","",F178*G178*(1-H178))</f>
        <v/>
      </c>
      <c r="J178" s="20"/>
      <c r="K178" s="20"/>
      <c r="L178" s="11" t="str">
        <f aca="false">IF(C178="","",F178*IFERROR(INDEX(Productos!$F$5:$F$104,MATCH(C178,Productos!$B$5:$B$104,0)),0))</f>
        <v/>
      </c>
      <c r="M178" s="11" t="str">
        <f aca="false">IF(C178="","",I178-L178)</f>
        <v/>
      </c>
    </row>
    <row r="179" customFormat="false" ht="15" hidden="false" customHeight="false" outlineLevel="0" collapsed="false">
      <c r="A179" s="25"/>
      <c r="B179" s="20"/>
      <c r="C179" s="20"/>
      <c r="D179" s="7" t="str">
        <f aca="false">IF(C179="","",IFERROR(INDEX(Productos!$A$5:$A$104,MATCH(C179,Productos!$B$5:$B$104,0)),""))</f>
        <v/>
      </c>
      <c r="E179" s="7" t="str">
        <f aca="false">IF(C179="","",IFERROR(INDEX(Productos!$C$5:$C$104,MATCH(C179,Productos!$B$5:$B$104,0)),""))</f>
        <v/>
      </c>
      <c r="F179" s="21"/>
      <c r="G179" s="11" t="str">
        <f aca="false">IF(C179="","",IFERROR(INDEX(Productos!$G$5:$G$104,MATCH(C179,Productos!$B$5:$B$104,0)),0))</f>
        <v/>
      </c>
      <c r="H179" s="26"/>
      <c r="I179" s="11" t="str">
        <f aca="false">IF(C179="","",F179*G179*(1-H179))</f>
        <v/>
      </c>
      <c r="J179" s="20"/>
      <c r="K179" s="20"/>
      <c r="L179" s="11" t="str">
        <f aca="false">IF(C179="","",F179*IFERROR(INDEX(Productos!$F$5:$F$104,MATCH(C179,Productos!$B$5:$B$104,0)),0))</f>
        <v/>
      </c>
      <c r="M179" s="11" t="str">
        <f aca="false">IF(C179="","",I179-L179)</f>
        <v/>
      </c>
    </row>
    <row r="180" customFormat="false" ht="15" hidden="false" customHeight="false" outlineLevel="0" collapsed="false">
      <c r="A180" s="25"/>
      <c r="B180" s="20"/>
      <c r="C180" s="20"/>
      <c r="D180" s="7" t="str">
        <f aca="false">IF(C180="","",IFERROR(INDEX(Productos!$A$5:$A$104,MATCH(C180,Productos!$B$5:$B$104,0)),""))</f>
        <v/>
      </c>
      <c r="E180" s="7" t="str">
        <f aca="false">IF(C180="","",IFERROR(INDEX(Productos!$C$5:$C$104,MATCH(C180,Productos!$B$5:$B$104,0)),""))</f>
        <v/>
      </c>
      <c r="F180" s="21"/>
      <c r="G180" s="11" t="str">
        <f aca="false">IF(C180="","",IFERROR(INDEX(Productos!$G$5:$G$104,MATCH(C180,Productos!$B$5:$B$104,0)),0))</f>
        <v/>
      </c>
      <c r="H180" s="26"/>
      <c r="I180" s="11" t="str">
        <f aca="false">IF(C180="","",F180*G180*(1-H180))</f>
        <v/>
      </c>
      <c r="J180" s="20"/>
      <c r="K180" s="20"/>
      <c r="L180" s="11" t="str">
        <f aca="false">IF(C180="","",F180*IFERROR(INDEX(Productos!$F$5:$F$104,MATCH(C180,Productos!$B$5:$B$104,0)),0))</f>
        <v/>
      </c>
      <c r="M180" s="11" t="str">
        <f aca="false">IF(C180="","",I180-L180)</f>
        <v/>
      </c>
    </row>
    <row r="181" customFormat="false" ht="15" hidden="false" customHeight="false" outlineLevel="0" collapsed="false">
      <c r="A181" s="25"/>
      <c r="B181" s="20"/>
      <c r="C181" s="20"/>
      <c r="D181" s="7" t="str">
        <f aca="false">IF(C181="","",IFERROR(INDEX(Productos!$A$5:$A$104,MATCH(C181,Productos!$B$5:$B$104,0)),""))</f>
        <v/>
      </c>
      <c r="E181" s="7" t="str">
        <f aca="false">IF(C181="","",IFERROR(INDEX(Productos!$C$5:$C$104,MATCH(C181,Productos!$B$5:$B$104,0)),""))</f>
        <v/>
      </c>
      <c r="F181" s="21"/>
      <c r="G181" s="11" t="str">
        <f aca="false">IF(C181="","",IFERROR(INDEX(Productos!$G$5:$G$104,MATCH(C181,Productos!$B$5:$B$104,0)),0))</f>
        <v/>
      </c>
      <c r="H181" s="26"/>
      <c r="I181" s="11" t="str">
        <f aca="false">IF(C181="","",F181*G181*(1-H181))</f>
        <v/>
      </c>
      <c r="J181" s="20"/>
      <c r="K181" s="20"/>
      <c r="L181" s="11" t="str">
        <f aca="false">IF(C181="","",F181*IFERROR(INDEX(Productos!$F$5:$F$104,MATCH(C181,Productos!$B$5:$B$104,0)),0))</f>
        <v/>
      </c>
      <c r="M181" s="11" t="str">
        <f aca="false">IF(C181="","",I181-L181)</f>
        <v/>
      </c>
    </row>
    <row r="182" customFormat="false" ht="15" hidden="false" customHeight="false" outlineLevel="0" collapsed="false">
      <c r="A182" s="25"/>
      <c r="B182" s="20"/>
      <c r="C182" s="20"/>
      <c r="D182" s="7" t="str">
        <f aca="false">IF(C182="","",IFERROR(INDEX(Productos!$A$5:$A$104,MATCH(C182,Productos!$B$5:$B$104,0)),""))</f>
        <v/>
      </c>
      <c r="E182" s="7" t="str">
        <f aca="false">IF(C182="","",IFERROR(INDEX(Productos!$C$5:$C$104,MATCH(C182,Productos!$B$5:$B$104,0)),""))</f>
        <v/>
      </c>
      <c r="F182" s="21"/>
      <c r="G182" s="11" t="str">
        <f aca="false">IF(C182="","",IFERROR(INDEX(Productos!$G$5:$G$104,MATCH(C182,Productos!$B$5:$B$104,0)),0))</f>
        <v/>
      </c>
      <c r="H182" s="26"/>
      <c r="I182" s="11" t="str">
        <f aca="false">IF(C182="","",F182*G182*(1-H182))</f>
        <v/>
      </c>
      <c r="J182" s="20"/>
      <c r="K182" s="20"/>
      <c r="L182" s="11" t="str">
        <f aca="false">IF(C182="","",F182*IFERROR(INDEX(Productos!$F$5:$F$104,MATCH(C182,Productos!$B$5:$B$104,0)),0))</f>
        <v/>
      </c>
      <c r="M182" s="11" t="str">
        <f aca="false">IF(C182="","",I182-L182)</f>
        <v/>
      </c>
    </row>
    <row r="183" customFormat="false" ht="15" hidden="false" customHeight="false" outlineLevel="0" collapsed="false">
      <c r="A183" s="25"/>
      <c r="B183" s="20"/>
      <c r="C183" s="20"/>
      <c r="D183" s="7" t="str">
        <f aca="false">IF(C183="","",IFERROR(INDEX(Productos!$A$5:$A$104,MATCH(C183,Productos!$B$5:$B$104,0)),""))</f>
        <v/>
      </c>
      <c r="E183" s="7" t="str">
        <f aca="false">IF(C183="","",IFERROR(INDEX(Productos!$C$5:$C$104,MATCH(C183,Productos!$B$5:$B$104,0)),""))</f>
        <v/>
      </c>
      <c r="F183" s="21"/>
      <c r="G183" s="11" t="str">
        <f aca="false">IF(C183="","",IFERROR(INDEX(Productos!$G$5:$G$104,MATCH(C183,Productos!$B$5:$B$104,0)),0))</f>
        <v/>
      </c>
      <c r="H183" s="26"/>
      <c r="I183" s="11" t="str">
        <f aca="false">IF(C183="","",F183*G183*(1-H183))</f>
        <v/>
      </c>
      <c r="J183" s="20"/>
      <c r="K183" s="20"/>
      <c r="L183" s="11" t="str">
        <f aca="false">IF(C183="","",F183*IFERROR(INDEX(Productos!$F$5:$F$104,MATCH(C183,Productos!$B$5:$B$104,0)),0))</f>
        <v/>
      </c>
      <c r="M183" s="11" t="str">
        <f aca="false">IF(C183="","",I183-L183)</f>
        <v/>
      </c>
    </row>
    <row r="184" customFormat="false" ht="15" hidden="false" customHeight="false" outlineLevel="0" collapsed="false">
      <c r="A184" s="25"/>
      <c r="B184" s="20"/>
      <c r="C184" s="20"/>
      <c r="D184" s="7" t="str">
        <f aca="false">IF(C184="","",IFERROR(INDEX(Productos!$A$5:$A$104,MATCH(C184,Productos!$B$5:$B$104,0)),""))</f>
        <v/>
      </c>
      <c r="E184" s="7" t="str">
        <f aca="false">IF(C184="","",IFERROR(INDEX(Productos!$C$5:$C$104,MATCH(C184,Productos!$B$5:$B$104,0)),""))</f>
        <v/>
      </c>
      <c r="F184" s="21"/>
      <c r="G184" s="11" t="str">
        <f aca="false">IF(C184="","",IFERROR(INDEX(Productos!$G$5:$G$104,MATCH(C184,Productos!$B$5:$B$104,0)),0))</f>
        <v/>
      </c>
      <c r="H184" s="26"/>
      <c r="I184" s="11" t="str">
        <f aca="false">IF(C184="","",F184*G184*(1-H184))</f>
        <v/>
      </c>
      <c r="J184" s="20"/>
      <c r="K184" s="20"/>
      <c r="L184" s="11" t="str">
        <f aca="false">IF(C184="","",F184*IFERROR(INDEX(Productos!$F$5:$F$104,MATCH(C184,Productos!$B$5:$B$104,0)),0))</f>
        <v/>
      </c>
      <c r="M184" s="11" t="str">
        <f aca="false">IF(C184="","",I184-L184)</f>
        <v/>
      </c>
    </row>
    <row r="185" customFormat="false" ht="15" hidden="false" customHeight="false" outlineLevel="0" collapsed="false">
      <c r="A185" s="25"/>
      <c r="B185" s="20"/>
      <c r="C185" s="20"/>
      <c r="D185" s="7" t="str">
        <f aca="false">IF(C185="","",IFERROR(INDEX(Productos!$A$5:$A$104,MATCH(C185,Productos!$B$5:$B$104,0)),""))</f>
        <v/>
      </c>
      <c r="E185" s="7" t="str">
        <f aca="false">IF(C185="","",IFERROR(INDEX(Productos!$C$5:$C$104,MATCH(C185,Productos!$B$5:$B$104,0)),""))</f>
        <v/>
      </c>
      <c r="F185" s="21"/>
      <c r="G185" s="11" t="str">
        <f aca="false">IF(C185="","",IFERROR(INDEX(Productos!$G$5:$G$104,MATCH(C185,Productos!$B$5:$B$104,0)),0))</f>
        <v/>
      </c>
      <c r="H185" s="26"/>
      <c r="I185" s="11" t="str">
        <f aca="false">IF(C185="","",F185*G185*(1-H185))</f>
        <v/>
      </c>
      <c r="J185" s="20"/>
      <c r="K185" s="20"/>
      <c r="L185" s="11" t="str">
        <f aca="false">IF(C185="","",F185*IFERROR(INDEX(Productos!$F$5:$F$104,MATCH(C185,Productos!$B$5:$B$104,0)),0))</f>
        <v/>
      </c>
      <c r="M185" s="11" t="str">
        <f aca="false">IF(C185="","",I185-L185)</f>
        <v/>
      </c>
    </row>
    <row r="186" customFormat="false" ht="15" hidden="false" customHeight="false" outlineLevel="0" collapsed="false">
      <c r="A186" s="25"/>
      <c r="B186" s="20"/>
      <c r="C186" s="20"/>
      <c r="D186" s="7" t="str">
        <f aca="false">IF(C186="","",IFERROR(INDEX(Productos!$A$5:$A$104,MATCH(C186,Productos!$B$5:$B$104,0)),""))</f>
        <v/>
      </c>
      <c r="E186" s="7" t="str">
        <f aca="false">IF(C186="","",IFERROR(INDEX(Productos!$C$5:$C$104,MATCH(C186,Productos!$B$5:$B$104,0)),""))</f>
        <v/>
      </c>
      <c r="F186" s="21"/>
      <c r="G186" s="11" t="str">
        <f aca="false">IF(C186="","",IFERROR(INDEX(Productos!$G$5:$G$104,MATCH(C186,Productos!$B$5:$B$104,0)),0))</f>
        <v/>
      </c>
      <c r="H186" s="26"/>
      <c r="I186" s="11" t="str">
        <f aca="false">IF(C186="","",F186*G186*(1-H186))</f>
        <v/>
      </c>
      <c r="J186" s="20"/>
      <c r="K186" s="20"/>
      <c r="L186" s="11" t="str">
        <f aca="false">IF(C186="","",F186*IFERROR(INDEX(Productos!$F$5:$F$104,MATCH(C186,Productos!$B$5:$B$104,0)),0))</f>
        <v/>
      </c>
      <c r="M186" s="11" t="str">
        <f aca="false">IF(C186="","",I186-L186)</f>
        <v/>
      </c>
    </row>
    <row r="187" customFormat="false" ht="15" hidden="false" customHeight="false" outlineLevel="0" collapsed="false">
      <c r="A187" s="25"/>
      <c r="B187" s="20"/>
      <c r="C187" s="20"/>
      <c r="D187" s="7" t="str">
        <f aca="false">IF(C187="","",IFERROR(INDEX(Productos!$A$5:$A$104,MATCH(C187,Productos!$B$5:$B$104,0)),""))</f>
        <v/>
      </c>
      <c r="E187" s="7" t="str">
        <f aca="false">IF(C187="","",IFERROR(INDEX(Productos!$C$5:$C$104,MATCH(C187,Productos!$B$5:$B$104,0)),""))</f>
        <v/>
      </c>
      <c r="F187" s="21"/>
      <c r="G187" s="11" t="str">
        <f aca="false">IF(C187="","",IFERROR(INDEX(Productos!$G$5:$G$104,MATCH(C187,Productos!$B$5:$B$104,0)),0))</f>
        <v/>
      </c>
      <c r="H187" s="26"/>
      <c r="I187" s="11" t="str">
        <f aca="false">IF(C187="","",F187*G187*(1-H187))</f>
        <v/>
      </c>
      <c r="J187" s="20"/>
      <c r="K187" s="20"/>
      <c r="L187" s="11" t="str">
        <f aca="false">IF(C187="","",F187*IFERROR(INDEX(Productos!$F$5:$F$104,MATCH(C187,Productos!$B$5:$B$104,0)),0))</f>
        <v/>
      </c>
      <c r="M187" s="11" t="str">
        <f aca="false">IF(C187="","",I187-L187)</f>
        <v/>
      </c>
    </row>
    <row r="188" customFormat="false" ht="15" hidden="false" customHeight="false" outlineLevel="0" collapsed="false">
      <c r="A188" s="25"/>
      <c r="B188" s="20"/>
      <c r="C188" s="20"/>
      <c r="D188" s="7" t="str">
        <f aca="false">IF(C188="","",IFERROR(INDEX(Productos!$A$5:$A$104,MATCH(C188,Productos!$B$5:$B$104,0)),""))</f>
        <v/>
      </c>
      <c r="E188" s="7" t="str">
        <f aca="false">IF(C188="","",IFERROR(INDEX(Productos!$C$5:$C$104,MATCH(C188,Productos!$B$5:$B$104,0)),""))</f>
        <v/>
      </c>
      <c r="F188" s="21"/>
      <c r="G188" s="11" t="str">
        <f aca="false">IF(C188="","",IFERROR(INDEX(Productos!$G$5:$G$104,MATCH(C188,Productos!$B$5:$B$104,0)),0))</f>
        <v/>
      </c>
      <c r="H188" s="26"/>
      <c r="I188" s="11" t="str">
        <f aca="false">IF(C188="","",F188*G188*(1-H188))</f>
        <v/>
      </c>
      <c r="J188" s="20"/>
      <c r="K188" s="20"/>
      <c r="L188" s="11" t="str">
        <f aca="false">IF(C188="","",F188*IFERROR(INDEX(Productos!$F$5:$F$104,MATCH(C188,Productos!$B$5:$B$104,0)),0))</f>
        <v/>
      </c>
      <c r="M188" s="11" t="str">
        <f aca="false">IF(C188="","",I188-L188)</f>
        <v/>
      </c>
    </row>
    <row r="189" customFormat="false" ht="15" hidden="false" customHeight="false" outlineLevel="0" collapsed="false">
      <c r="A189" s="25"/>
      <c r="B189" s="20"/>
      <c r="C189" s="20"/>
      <c r="D189" s="7" t="str">
        <f aca="false">IF(C189="","",IFERROR(INDEX(Productos!$A$5:$A$104,MATCH(C189,Productos!$B$5:$B$104,0)),""))</f>
        <v/>
      </c>
      <c r="E189" s="7" t="str">
        <f aca="false">IF(C189="","",IFERROR(INDEX(Productos!$C$5:$C$104,MATCH(C189,Productos!$B$5:$B$104,0)),""))</f>
        <v/>
      </c>
      <c r="F189" s="21"/>
      <c r="G189" s="11" t="str">
        <f aca="false">IF(C189="","",IFERROR(INDEX(Productos!$G$5:$G$104,MATCH(C189,Productos!$B$5:$B$104,0)),0))</f>
        <v/>
      </c>
      <c r="H189" s="26"/>
      <c r="I189" s="11" t="str">
        <f aca="false">IF(C189="","",F189*G189*(1-H189))</f>
        <v/>
      </c>
      <c r="J189" s="20"/>
      <c r="K189" s="20"/>
      <c r="L189" s="11" t="str">
        <f aca="false">IF(C189="","",F189*IFERROR(INDEX(Productos!$F$5:$F$104,MATCH(C189,Productos!$B$5:$B$104,0)),0))</f>
        <v/>
      </c>
      <c r="M189" s="11" t="str">
        <f aca="false">IF(C189="","",I189-L189)</f>
        <v/>
      </c>
    </row>
    <row r="190" customFormat="false" ht="15" hidden="false" customHeight="false" outlineLevel="0" collapsed="false">
      <c r="A190" s="25"/>
      <c r="B190" s="20"/>
      <c r="C190" s="20"/>
      <c r="D190" s="7" t="str">
        <f aca="false">IF(C190="","",IFERROR(INDEX(Productos!$A$5:$A$104,MATCH(C190,Productos!$B$5:$B$104,0)),""))</f>
        <v/>
      </c>
      <c r="E190" s="7" t="str">
        <f aca="false">IF(C190="","",IFERROR(INDEX(Productos!$C$5:$C$104,MATCH(C190,Productos!$B$5:$B$104,0)),""))</f>
        <v/>
      </c>
      <c r="F190" s="21"/>
      <c r="G190" s="11" t="str">
        <f aca="false">IF(C190="","",IFERROR(INDEX(Productos!$G$5:$G$104,MATCH(C190,Productos!$B$5:$B$104,0)),0))</f>
        <v/>
      </c>
      <c r="H190" s="26"/>
      <c r="I190" s="11" t="str">
        <f aca="false">IF(C190="","",F190*G190*(1-H190))</f>
        <v/>
      </c>
      <c r="J190" s="20"/>
      <c r="K190" s="20"/>
      <c r="L190" s="11" t="str">
        <f aca="false">IF(C190="","",F190*IFERROR(INDEX(Productos!$F$5:$F$104,MATCH(C190,Productos!$B$5:$B$104,0)),0))</f>
        <v/>
      </c>
      <c r="M190" s="11" t="str">
        <f aca="false">IF(C190="","",I190-L190)</f>
        <v/>
      </c>
    </row>
    <row r="191" customFormat="false" ht="15" hidden="false" customHeight="false" outlineLevel="0" collapsed="false">
      <c r="A191" s="25"/>
      <c r="B191" s="20"/>
      <c r="C191" s="20"/>
      <c r="D191" s="7" t="str">
        <f aca="false">IF(C191="","",IFERROR(INDEX(Productos!$A$5:$A$104,MATCH(C191,Productos!$B$5:$B$104,0)),""))</f>
        <v/>
      </c>
      <c r="E191" s="7" t="str">
        <f aca="false">IF(C191="","",IFERROR(INDEX(Productos!$C$5:$C$104,MATCH(C191,Productos!$B$5:$B$104,0)),""))</f>
        <v/>
      </c>
      <c r="F191" s="21"/>
      <c r="G191" s="11" t="str">
        <f aca="false">IF(C191="","",IFERROR(INDEX(Productos!$G$5:$G$104,MATCH(C191,Productos!$B$5:$B$104,0)),0))</f>
        <v/>
      </c>
      <c r="H191" s="26"/>
      <c r="I191" s="11" t="str">
        <f aca="false">IF(C191="","",F191*G191*(1-H191))</f>
        <v/>
      </c>
      <c r="J191" s="20"/>
      <c r="K191" s="20"/>
      <c r="L191" s="11" t="str">
        <f aca="false">IF(C191="","",F191*IFERROR(INDEX(Productos!$F$5:$F$104,MATCH(C191,Productos!$B$5:$B$104,0)),0))</f>
        <v/>
      </c>
      <c r="M191" s="11" t="str">
        <f aca="false">IF(C191="","",I191-L191)</f>
        <v/>
      </c>
    </row>
    <row r="192" customFormat="false" ht="15" hidden="false" customHeight="false" outlineLevel="0" collapsed="false">
      <c r="A192" s="25"/>
      <c r="B192" s="20"/>
      <c r="C192" s="20"/>
      <c r="D192" s="7" t="str">
        <f aca="false">IF(C192="","",IFERROR(INDEX(Productos!$A$5:$A$104,MATCH(C192,Productos!$B$5:$B$104,0)),""))</f>
        <v/>
      </c>
      <c r="E192" s="7" t="str">
        <f aca="false">IF(C192="","",IFERROR(INDEX(Productos!$C$5:$C$104,MATCH(C192,Productos!$B$5:$B$104,0)),""))</f>
        <v/>
      </c>
      <c r="F192" s="21"/>
      <c r="G192" s="11" t="str">
        <f aca="false">IF(C192="","",IFERROR(INDEX(Productos!$G$5:$G$104,MATCH(C192,Productos!$B$5:$B$104,0)),0))</f>
        <v/>
      </c>
      <c r="H192" s="26"/>
      <c r="I192" s="11" t="str">
        <f aca="false">IF(C192="","",F192*G192*(1-H192))</f>
        <v/>
      </c>
      <c r="J192" s="20"/>
      <c r="K192" s="20"/>
      <c r="L192" s="11" t="str">
        <f aca="false">IF(C192="","",F192*IFERROR(INDEX(Productos!$F$5:$F$104,MATCH(C192,Productos!$B$5:$B$104,0)),0))</f>
        <v/>
      </c>
      <c r="M192" s="11" t="str">
        <f aca="false">IF(C192="","",I192-L192)</f>
        <v/>
      </c>
    </row>
    <row r="193" customFormat="false" ht="15" hidden="false" customHeight="false" outlineLevel="0" collapsed="false">
      <c r="A193" s="25"/>
      <c r="B193" s="20"/>
      <c r="C193" s="20"/>
      <c r="D193" s="7" t="str">
        <f aca="false">IF(C193="","",IFERROR(INDEX(Productos!$A$5:$A$104,MATCH(C193,Productos!$B$5:$B$104,0)),""))</f>
        <v/>
      </c>
      <c r="E193" s="7" t="str">
        <f aca="false">IF(C193="","",IFERROR(INDEX(Productos!$C$5:$C$104,MATCH(C193,Productos!$B$5:$B$104,0)),""))</f>
        <v/>
      </c>
      <c r="F193" s="21"/>
      <c r="G193" s="11" t="str">
        <f aca="false">IF(C193="","",IFERROR(INDEX(Productos!$G$5:$G$104,MATCH(C193,Productos!$B$5:$B$104,0)),0))</f>
        <v/>
      </c>
      <c r="H193" s="26"/>
      <c r="I193" s="11" t="str">
        <f aca="false">IF(C193="","",F193*G193*(1-H193))</f>
        <v/>
      </c>
      <c r="J193" s="20"/>
      <c r="K193" s="20"/>
      <c r="L193" s="11" t="str">
        <f aca="false">IF(C193="","",F193*IFERROR(INDEX(Productos!$F$5:$F$104,MATCH(C193,Productos!$B$5:$B$104,0)),0))</f>
        <v/>
      </c>
      <c r="M193" s="11" t="str">
        <f aca="false">IF(C193="","",I193-L193)</f>
        <v/>
      </c>
    </row>
    <row r="194" customFormat="false" ht="15" hidden="false" customHeight="false" outlineLevel="0" collapsed="false">
      <c r="A194" s="25"/>
      <c r="B194" s="20"/>
      <c r="C194" s="20"/>
      <c r="D194" s="7" t="str">
        <f aca="false">IF(C194="","",IFERROR(INDEX(Productos!$A$5:$A$104,MATCH(C194,Productos!$B$5:$B$104,0)),""))</f>
        <v/>
      </c>
      <c r="E194" s="7" t="str">
        <f aca="false">IF(C194="","",IFERROR(INDEX(Productos!$C$5:$C$104,MATCH(C194,Productos!$B$5:$B$104,0)),""))</f>
        <v/>
      </c>
      <c r="F194" s="21"/>
      <c r="G194" s="11" t="str">
        <f aca="false">IF(C194="","",IFERROR(INDEX(Productos!$G$5:$G$104,MATCH(C194,Productos!$B$5:$B$104,0)),0))</f>
        <v/>
      </c>
      <c r="H194" s="26"/>
      <c r="I194" s="11" t="str">
        <f aca="false">IF(C194="","",F194*G194*(1-H194))</f>
        <v/>
      </c>
      <c r="J194" s="20"/>
      <c r="K194" s="20"/>
      <c r="L194" s="11" t="str">
        <f aca="false">IF(C194="","",F194*IFERROR(INDEX(Productos!$F$5:$F$104,MATCH(C194,Productos!$B$5:$B$104,0)),0))</f>
        <v/>
      </c>
      <c r="M194" s="11" t="str">
        <f aca="false">IF(C194="","",I194-L194)</f>
        <v/>
      </c>
    </row>
    <row r="195" customFormat="false" ht="15" hidden="false" customHeight="false" outlineLevel="0" collapsed="false">
      <c r="A195" s="25"/>
      <c r="B195" s="20"/>
      <c r="C195" s="20"/>
      <c r="D195" s="7" t="str">
        <f aca="false">IF(C195="","",IFERROR(INDEX(Productos!$A$5:$A$104,MATCH(C195,Productos!$B$5:$B$104,0)),""))</f>
        <v/>
      </c>
      <c r="E195" s="7" t="str">
        <f aca="false">IF(C195="","",IFERROR(INDEX(Productos!$C$5:$C$104,MATCH(C195,Productos!$B$5:$B$104,0)),""))</f>
        <v/>
      </c>
      <c r="F195" s="21"/>
      <c r="G195" s="11" t="str">
        <f aca="false">IF(C195="","",IFERROR(INDEX(Productos!$G$5:$G$104,MATCH(C195,Productos!$B$5:$B$104,0)),0))</f>
        <v/>
      </c>
      <c r="H195" s="26"/>
      <c r="I195" s="11" t="str">
        <f aca="false">IF(C195="","",F195*G195*(1-H195))</f>
        <v/>
      </c>
      <c r="J195" s="20"/>
      <c r="K195" s="20"/>
      <c r="L195" s="11" t="str">
        <f aca="false">IF(C195="","",F195*IFERROR(INDEX(Productos!$F$5:$F$104,MATCH(C195,Productos!$B$5:$B$104,0)),0))</f>
        <v/>
      </c>
      <c r="M195" s="11" t="str">
        <f aca="false">IF(C195="","",I195-L195)</f>
        <v/>
      </c>
    </row>
    <row r="196" customFormat="false" ht="15" hidden="false" customHeight="false" outlineLevel="0" collapsed="false">
      <c r="A196" s="25"/>
      <c r="B196" s="20"/>
      <c r="C196" s="20"/>
      <c r="D196" s="7" t="str">
        <f aca="false">IF(C196="","",IFERROR(INDEX(Productos!$A$5:$A$104,MATCH(C196,Productos!$B$5:$B$104,0)),""))</f>
        <v/>
      </c>
      <c r="E196" s="7" t="str">
        <f aca="false">IF(C196="","",IFERROR(INDEX(Productos!$C$5:$C$104,MATCH(C196,Productos!$B$5:$B$104,0)),""))</f>
        <v/>
      </c>
      <c r="F196" s="21"/>
      <c r="G196" s="11" t="str">
        <f aca="false">IF(C196="","",IFERROR(INDEX(Productos!$G$5:$G$104,MATCH(C196,Productos!$B$5:$B$104,0)),0))</f>
        <v/>
      </c>
      <c r="H196" s="26"/>
      <c r="I196" s="11" t="str">
        <f aca="false">IF(C196="","",F196*G196*(1-H196))</f>
        <v/>
      </c>
      <c r="J196" s="20"/>
      <c r="K196" s="20"/>
      <c r="L196" s="11" t="str">
        <f aca="false">IF(C196="","",F196*IFERROR(INDEX(Productos!$F$5:$F$104,MATCH(C196,Productos!$B$5:$B$104,0)),0))</f>
        <v/>
      </c>
      <c r="M196" s="11" t="str">
        <f aca="false">IF(C196="","",I196-L196)</f>
        <v/>
      </c>
    </row>
    <row r="197" customFormat="false" ht="15" hidden="false" customHeight="false" outlineLevel="0" collapsed="false">
      <c r="A197" s="25"/>
      <c r="B197" s="20"/>
      <c r="C197" s="20"/>
      <c r="D197" s="7" t="str">
        <f aca="false">IF(C197="","",IFERROR(INDEX(Productos!$A$5:$A$104,MATCH(C197,Productos!$B$5:$B$104,0)),""))</f>
        <v/>
      </c>
      <c r="E197" s="7" t="str">
        <f aca="false">IF(C197="","",IFERROR(INDEX(Productos!$C$5:$C$104,MATCH(C197,Productos!$B$5:$B$104,0)),""))</f>
        <v/>
      </c>
      <c r="F197" s="21"/>
      <c r="G197" s="11" t="str">
        <f aca="false">IF(C197="","",IFERROR(INDEX(Productos!$G$5:$G$104,MATCH(C197,Productos!$B$5:$B$104,0)),0))</f>
        <v/>
      </c>
      <c r="H197" s="26"/>
      <c r="I197" s="11" t="str">
        <f aca="false">IF(C197="","",F197*G197*(1-H197))</f>
        <v/>
      </c>
      <c r="J197" s="20"/>
      <c r="K197" s="20"/>
      <c r="L197" s="11" t="str">
        <f aca="false">IF(C197="","",F197*IFERROR(INDEX(Productos!$F$5:$F$104,MATCH(C197,Productos!$B$5:$B$104,0)),0))</f>
        <v/>
      </c>
      <c r="M197" s="11" t="str">
        <f aca="false">IF(C197="","",I197-L197)</f>
        <v/>
      </c>
    </row>
    <row r="198" customFormat="false" ht="15" hidden="false" customHeight="false" outlineLevel="0" collapsed="false">
      <c r="A198" s="25"/>
      <c r="B198" s="20"/>
      <c r="C198" s="20"/>
      <c r="D198" s="7" t="str">
        <f aca="false">IF(C198="","",IFERROR(INDEX(Productos!$A$5:$A$104,MATCH(C198,Productos!$B$5:$B$104,0)),""))</f>
        <v/>
      </c>
      <c r="E198" s="7" t="str">
        <f aca="false">IF(C198="","",IFERROR(INDEX(Productos!$C$5:$C$104,MATCH(C198,Productos!$B$5:$B$104,0)),""))</f>
        <v/>
      </c>
      <c r="F198" s="21"/>
      <c r="G198" s="11" t="str">
        <f aca="false">IF(C198="","",IFERROR(INDEX(Productos!$G$5:$G$104,MATCH(C198,Productos!$B$5:$B$104,0)),0))</f>
        <v/>
      </c>
      <c r="H198" s="26"/>
      <c r="I198" s="11" t="str">
        <f aca="false">IF(C198="","",F198*G198*(1-H198))</f>
        <v/>
      </c>
      <c r="J198" s="20"/>
      <c r="K198" s="20"/>
      <c r="L198" s="11" t="str">
        <f aca="false">IF(C198="","",F198*IFERROR(INDEX(Productos!$F$5:$F$104,MATCH(C198,Productos!$B$5:$B$104,0)),0))</f>
        <v/>
      </c>
      <c r="M198" s="11" t="str">
        <f aca="false">IF(C198="","",I198-L198)</f>
        <v/>
      </c>
    </row>
    <row r="199" customFormat="false" ht="15" hidden="false" customHeight="false" outlineLevel="0" collapsed="false">
      <c r="A199" s="25"/>
      <c r="B199" s="20"/>
      <c r="C199" s="20"/>
      <c r="D199" s="7" t="str">
        <f aca="false">IF(C199="","",IFERROR(INDEX(Productos!$A$5:$A$104,MATCH(C199,Productos!$B$5:$B$104,0)),""))</f>
        <v/>
      </c>
      <c r="E199" s="7" t="str">
        <f aca="false">IF(C199="","",IFERROR(INDEX(Productos!$C$5:$C$104,MATCH(C199,Productos!$B$5:$B$104,0)),""))</f>
        <v/>
      </c>
      <c r="F199" s="21"/>
      <c r="G199" s="11" t="str">
        <f aca="false">IF(C199="","",IFERROR(INDEX(Productos!$G$5:$G$104,MATCH(C199,Productos!$B$5:$B$104,0)),0))</f>
        <v/>
      </c>
      <c r="H199" s="26"/>
      <c r="I199" s="11" t="str">
        <f aca="false">IF(C199="","",F199*G199*(1-H199))</f>
        <v/>
      </c>
      <c r="J199" s="20"/>
      <c r="K199" s="20"/>
      <c r="L199" s="11" t="str">
        <f aca="false">IF(C199="","",F199*IFERROR(INDEX(Productos!$F$5:$F$104,MATCH(C199,Productos!$B$5:$B$104,0)),0))</f>
        <v/>
      </c>
      <c r="M199" s="11" t="str">
        <f aca="false">IF(C199="","",I199-L199)</f>
        <v/>
      </c>
    </row>
    <row r="200" customFormat="false" ht="15" hidden="false" customHeight="false" outlineLevel="0" collapsed="false">
      <c r="A200" s="25"/>
      <c r="B200" s="20"/>
      <c r="C200" s="20"/>
      <c r="D200" s="7" t="str">
        <f aca="false">IF(C200="","",IFERROR(INDEX(Productos!$A$5:$A$104,MATCH(C200,Productos!$B$5:$B$104,0)),""))</f>
        <v/>
      </c>
      <c r="E200" s="7" t="str">
        <f aca="false">IF(C200="","",IFERROR(INDEX(Productos!$C$5:$C$104,MATCH(C200,Productos!$B$5:$B$104,0)),""))</f>
        <v/>
      </c>
      <c r="F200" s="21"/>
      <c r="G200" s="11" t="str">
        <f aca="false">IF(C200="","",IFERROR(INDEX(Productos!$G$5:$G$104,MATCH(C200,Productos!$B$5:$B$104,0)),0))</f>
        <v/>
      </c>
      <c r="H200" s="26"/>
      <c r="I200" s="11" t="str">
        <f aca="false">IF(C200="","",F200*G200*(1-H200))</f>
        <v/>
      </c>
      <c r="J200" s="20"/>
      <c r="K200" s="20"/>
      <c r="L200" s="11" t="str">
        <f aca="false">IF(C200="","",F200*IFERROR(INDEX(Productos!$F$5:$F$104,MATCH(C200,Productos!$B$5:$B$104,0)),0))</f>
        <v/>
      </c>
      <c r="M200" s="11" t="str">
        <f aca="false">IF(C200="","",I200-L200)</f>
        <v/>
      </c>
    </row>
    <row r="201" customFormat="false" ht="15" hidden="false" customHeight="false" outlineLevel="0" collapsed="false">
      <c r="A201" s="25"/>
      <c r="B201" s="20"/>
      <c r="C201" s="20"/>
      <c r="D201" s="7" t="str">
        <f aca="false">IF(C201="","",IFERROR(INDEX(Productos!$A$5:$A$104,MATCH(C201,Productos!$B$5:$B$104,0)),""))</f>
        <v/>
      </c>
      <c r="E201" s="7" t="str">
        <f aca="false">IF(C201="","",IFERROR(INDEX(Productos!$C$5:$C$104,MATCH(C201,Productos!$B$5:$B$104,0)),""))</f>
        <v/>
      </c>
      <c r="F201" s="21"/>
      <c r="G201" s="11" t="str">
        <f aca="false">IF(C201="","",IFERROR(INDEX(Productos!$G$5:$G$104,MATCH(C201,Productos!$B$5:$B$104,0)),0))</f>
        <v/>
      </c>
      <c r="H201" s="26"/>
      <c r="I201" s="11" t="str">
        <f aca="false">IF(C201="","",F201*G201*(1-H201))</f>
        <v/>
      </c>
      <c r="J201" s="20"/>
      <c r="K201" s="20"/>
      <c r="L201" s="11" t="str">
        <f aca="false">IF(C201="","",F201*IFERROR(INDEX(Productos!$F$5:$F$104,MATCH(C201,Productos!$B$5:$B$104,0)),0))</f>
        <v/>
      </c>
      <c r="M201" s="11" t="str">
        <f aca="false">IF(C201="","",I201-L201)</f>
        <v/>
      </c>
    </row>
    <row r="202" customFormat="false" ht="15" hidden="false" customHeight="false" outlineLevel="0" collapsed="false">
      <c r="A202" s="25"/>
      <c r="B202" s="20"/>
      <c r="C202" s="20"/>
      <c r="D202" s="7" t="str">
        <f aca="false">IF(C202="","",IFERROR(INDEX(Productos!$A$5:$A$104,MATCH(C202,Productos!$B$5:$B$104,0)),""))</f>
        <v/>
      </c>
      <c r="E202" s="7" t="str">
        <f aca="false">IF(C202="","",IFERROR(INDEX(Productos!$C$5:$C$104,MATCH(C202,Productos!$B$5:$B$104,0)),""))</f>
        <v/>
      </c>
      <c r="F202" s="21"/>
      <c r="G202" s="11" t="str">
        <f aca="false">IF(C202="","",IFERROR(INDEX(Productos!$G$5:$G$104,MATCH(C202,Productos!$B$5:$B$104,0)),0))</f>
        <v/>
      </c>
      <c r="H202" s="26"/>
      <c r="I202" s="11" t="str">
        <f aca="false">IF(C202="","",F202*G202*(1-H202))</f>
        <v/>
      </c>
      <c r="J202" s="20"/>
      <c r="K202" s="20"/>
      <c r="L202" s="11" t="str">
        <f aca="false">IF(C202="","",F202*IFERROR(INDEX(Productos!$F$5:$F$104,MATCH(C202,Productos!$B$5:$B$104,0)),0))</f>
        <v/>
      </c>
      <c r="M202" s="11" t="str">
        <f aca="false">IF(C202="","",I202-L202)</f>
        <v/>
      </c>
    </row>
    <row r="203" customFormat="false" ht="15" hidden="false" customHeight="false" outlineLevel="0" collapsed="false">
      <c r="A203" s="25"/>
      <c r="B203" s="20"/>
      <c r="C203" s="20"/>
      <c r="D203" s="7" t="str">
        <f aca="false">IF(C203="","",IFERROR(INDEX(Productos!$A$5:$A$104,MATCH(C203,Productos!$B$5:$B$104,0)),""))</f>
        <v/>
      </c>
      <c r="E203" s="7" t="str">
        <f aca="false">IF(C203="","",IFERROR(INDEX(Productos!$C$5:$C$104,MATCH(C203,Productos!$B$5:$B$104,0)),""))</f>
        <v/>
      </c>
      <c r="F203" s="21"/>
      <c r="G203" s="11" t="str">
        <f aca="false">IF(C203="","",IFERROR(INDEX(Productos!$G$5:$G$104,MATCH(C203,Productos!$B$5:$B$104,0)),0))</f>
        <v/>
      </c>
      <c r="H203" s="26"/>
      <c r="I203" s="11" t="str">
        <f aca="false">IF(C203="","",F203*G203*(1-H203))</f>
        <v/>
      </c>
      <c r="J203" s="20"/>
      <c r="K203" s="20"/>
      <c r="L203" s="11" t="str">
        <f aca="false">IF(C203="","",F203*IFERROR(INDEX(Productos!$F$5:$F$104,MATCH(C203,Productos!$B$5:$B$104,0)),0))</f>
        <v/>
      </c>
      <c r="M203" s="11" t="str">
        <f aca="false">IF(C203="","",I203-L203)</f>
        <v/>
      </c>
    </row>
    <row r="204" customFormat="false" ht="15" hidden="false" customHeight="false" outlineLevel="0" collapsed="false">
      <c r="A204" s="25"/>
      <c r="B204" s="20"/>
      <c r="C204" s="20"/>
      <c r="D204" s="7" t="str">
        <f aca="false">IF(C204="","",IFERROR(INDEX(Productos!$A$5:$A$104,MATCH(C204,Productos!$B$5:$B$104,0)),""))</f>
        <v/>
      </c>
      <c r="E204" s="7" t="str">
        <f aca="false">IF(C204="","",IFERROR(INDEX(Productos!$C$5:$C$104,MATCH(C204,Productos!$B$5:$B$104,0)),""))</f>
        <v/>
      </c>
      <c r="F204" s="21"/>
      <c r="G204" s="11" t="str">
        <f aca="false">IF(C204="","",IFERROR(INDEX(Productos!$G$5:$G$104,MATCH(C204,Productos!$B$5:$B$104,0)),0))</f>
        <v/>
      </c>
      <c r="H204" s="26"/>
      <c r="I204" s="11" t="str">
        <f aca="false">IF(C204="","",F204*G204*(1-H204))</f>
        <v/>
      </c>
      <c r="J204" s="20"/>
      <c r="K204" s="20"/>
      <c r="L204" s="11" t="str">
        <f aca="false">IF(C204="","",F204*IFERROR(INDEX(Productos!$F$5:$F$104,MATCH(C204,Productos!$B$5:$B$104,0)),0))</f>
        <v/>
      </c>
      <c r="M204" s="11" t="str">
        <f aca="false">IF(C204="","",I204-L204)</f>
        <v/>
      </c>
    </row>
    <row r="205" customFormat="false" ht="15" hidden="false" customHeight="false" outlineLevel="0" collapsed="false">
      <c r="A205" s="25"/>
      <c r="B205" s="20"/>
      <c r="C205" s="20"/>
      <c r="D205" s="7" t="str">
        <f aca="false">IF(C205="","",IFERROR(INDEX(Productos!$A$5:$A$104,MATCH(C205,Productos!$B$5:$B$104,0)),""))</f>
        <v/>
      </c>
      <c r="E205" s="7" t="str">
        <f aca="false">IF(C205="","",IFERROR(INDEX(Productos!$C$5:$C$104,MATCH(C205,Productos!$B$5:$B$104,0)),""))</f>
        <v/>
      </c>
      <c r="F205" s="21"/>
      <c r="G205" s="11" t="str">
        <f aca="false">IF(C205="","",IFERROR(INDEX(Productos!$G$5:$G$104,MATCH(C205,Productos!$B$5:$B$104,0)),0))</f>
        <v/>
      </c>
      <c r="H205" s="26"/>
      <c r="I205" s="11" t="str">
        <f aca="false">IF(C205="","",F205*G205*(1-H205))</f>
        <v/>
      </c>
      <c r="J205" s="20"/>
      <c r="K205" s="20"/>
      <c r="L205" s="11" t="str">
        <f aca="false">IF(C205="","",F205*IFERROR(INDEX(Productos!$F$5:$F$104,MATCH(C205,Productos!$B$5:$B$104,0)),0))</f>
        <v/>
      </c>
      <c r="M205" s="11" t="str">
        <f aca="false">IF(C205="","",I205-L205)</f>
        <v/>
      </c>
    </row>
    <row r="206" customFormat="false" ht="15" hidden="false" customHeight="false" outlineLevel="0" collapsed="false">
      <c r="A206" s="25"/>
      <c r="B206" s="20"/>
      <c r="C206" s="20"/>
      <c r="D206" s="7" t="str">
        <f aca="false">IF(C206="","",IFERROR(INDEX(Productos!$A$5:$A$104,MATCH(C206,Productos!$B$5:$B$104,0)),""))</f>
        <v/>
      </c>
      <c r="E206" s="7" t="str">
        <f aca="false">IF(C206="","",IFERROR(INDEX(Productos!$C$5:$C$104,MATCH(C206,Productos!$B$5:$B$104,0)),""))</f>
        <v/>
      </c>
      <c r="F206" s="21"/>
      <c r="G206" s="11" t="str">
        <f aca="false">IF(C206="","",IFERROR(INDEX(Productos!$G$5:$G$104,MATCH(C206,Productos!$B$5:$B$104,0)),0))</f>
        <v/>
      </c>
      <c r="H206" s="26"/>
      <c r="I206" s="11" t="str">
        <f aca="false">IF(C206="","",F206*G206*(1-H206))</f>
        <v/>
      </c>
      <c r="J206" s="20"/>
      <c r="K206" s="20"/>
      <c r="L206" s="11" t="str">
        <f aca="false">IF(C206="","",F206*IFERROR(INDEX(Productos!$F$5:$F$104,MATCH(C206,Productos!$B$5:$B$104,0)),0))</f>
        <v/>
      </c>
      <c r="M206" s="11" t="str">
        <f aca="false">IF(C206="","",I206-L206)</f>
        <v/>
      </c>
    </row>
    <row r="207" customFormat="false" ht="15" hidden="false" customHeight="false" outlineLevel="0" collapsed="false">
      <c r="A207" s="25"/>
      <c r="B207" s="20"/>
      <c r="C207" s="20"/>
      <c r="D207" s="7" t="str">
        <f aca="false">IF(C207="","",IFERROR(INDEX(Productos!$A$5:$A$104,MATCH(C207,Productos!$B$5:$B$104,0)),""))</f>
        <v/>
      </c>
      <c r="E207" s="7" t="str">
        <f aca="false">IF(C207="","",IFERROR(INDEX(Productos!$C$5:$C$104,MATCH(C207,Productos!$B$5:$B$104,0)),""))</f>
        <v/>
      </c>
      <c r="F207" s="21"/>
      <c r="G207" s="11" t="str">
        <f aca="false">IF(C207="","",IFERROR(INDEX(Productos!$G$5:$G$104,MATCH(C207,Productos!$B$5:$B$104,0)),0))</f>
        <v/>
      </c>
      <c r="H207" s="26"/>
      <c r="I207" s="11" t="str">
        <f aca="false">IF(C207="","",F207*G207*(1-H207))</f>
        <v/>
      </c>
      <c r="J207" s="20"/>
      <c r="K207" s="20"/>
      <c r="L207" s="11" t="str">
        <f aca="false">IF(C207="","",F207*IFERROR(INDEX(Productos!$F$5:$F$104,MATCH(C207,Productos!$B$5:$B$104,0)),0))</f>
        <v/>
      </c>
      <c r="M207" s="11" t="str">
        <f aca="false">IF(C207="","",I207-L207)</f>
        <v/>
      </c>
    </row>
    <row r="208" customFormat="false" ht="15" hidden="false" customHeight="false" outlineLevel="0" collapsed="false">
      <c r="A208" s="25"/>
      <c r="B208" s="20"/>
      <c r="C208" s="20"/>
      <c r="D208" s="7" t="str">
        <f aca="false">IF(C208="","",IFERROR(INDEX(Productos!$A$5:$A$104,MATCH(C208,Productos!$B$5:$B$104,0)),""))</f>
        <v/>
      </c>
      <c r="E208" s="7" t="str">
        <f aca="false">IF(C208="","",IFERROR(INDEX(Productos!$C$5:$C$104,MATCH(C208,Productos!$B$5:$B$104,0)),""))</f>
        <v/>
      </c>
      <c r="F208" s="21"/>
      <c r="G208" s="11" t="str">
        <f aca="false">IF(C208="","",IFERROR(INDEX(Productos!$G$5:$G$104,MATCH(C208,Productos!$B$5:$B$104,0)),0))</f>
        <v/>
      </c>
      <c r="H208" s="26"/>
      <c r="I208" s="11" t="str">
        <f aca="false">IF(C208="","",F208*G208*(1-H208))</f>
        <v/>
      </c>
      <c r="J208" s="20"/>
      <c r="K208" s="20"/>
      <c r="L208" s="11" t="str">
        <f aca="false">IF(C208="","",F208*IFERROR(INDEX(Productos!$F$5:$F$104,MATCH(C208,Productos!$B$5:$B$104,0)),0))</f>
        <v/>
      </c>
      <c r="M208" s="11" t="str">
        <f aca="false">IF(C208="","",I208-L208)</f>
        <v/>
      </c>
    </row>
    <row r="209" customFormat="false" ht="15" hidden="false" customHeight="false" outlineLevel="0" collapsed="false">
      <c r="A209" s="25"/>
      <c r="B209" s="20"/>
      <c r="C209" s="20"/>
      <c r="D209" s="7" t="str">
        <f aca="false">IF(C209="","",IFERROR(INDEX(Productos!$A$5:$A$104,MATCH(C209,Productos!$B$5:$B$104,0)),""))</f>
        <v/>
      </c>
      <c r="E209" s="7" t="str">
        <f aca="false">IF(C209="","",IFERROR(INDEX(Productos!$C$5:$C$104,MATCH(C209,Productos!$B$5:$B$104,0)),""))</f>
        <v/>
      </c>
      <c r="F209" s="21"/>
      <c r="G209" s="11" t="str">
        <f aca="false">IF(C209="","",IFERROR(INDEX(Productos!$G$5:$G$104,MATCH(C209,Productos!$B$5:$B$104,0)),0))</f>
        <v/>
      </c>
      <c r="H209" s="26"/>
      <c r="I209" s="11" t="str">
        <f aca="false">IF(C209="","",F209*G209*(1-H209))</f>
        <v/>
      </c>
      <c r="J209" s="20"/>
      <c r="K209" s="20"/>
      <c r="L209" s="11" t="str">
        <f aca="false">IF(C209="","",F209*IFERROR(INDEX(Productos!$F$5:$F$104,MATCH(C209,Productos!$B$5:$B$104,0)),0))</f>
        <v/>
      </c>
      <c r="M209" s="11" t="str">
        <f aca="false">IF(C209="","",I209-L209)</f>
        <v/>
      </c>
    </row>
    <row r="210" customFormat="false" ht="15" hidden="false" customHeight="false" outlineLevel="0" collapsed="false">
      <c r="A210" s="25"/>
      <c r="B210" s="20"/>
      <c r="C210" s="20"/>
      <c r="D210" s="7" t="str">
        <f aca="false">IF(C210="","",IFERROR(INDEX(Productos!$A$5:$A$104,MATCH(C210,Productos!$B$5:$B$104,0)),""))</f>
        <v/>
      </c>
      <c r="E210" s="7" t="str">
        <f aca="false">IF(C210="","",IFERROR(INDEX(Productos!$C$5:$C$104,MATCH(C210,Productos!$B$5:$B$104,0)),""))</f>
        <v/>
      </c>
      <c r="F210" s="21"/>
      <c r="G210" s="11" t="str">
        <f aca="false">IF(C210="","",IFERROR(INDEX(Productos!$G$5:$G$104,MATCH(C210,Productos!$B$5:$B$104,0)),0))</f>
        <v/>
      </c>
      <c r="H210" s="26"/>
      <c r="I210" s="11" t="str">
        <f aca="false">IF(C210="","",F210*G210*(1-H210))</f>
        <v/>
      </c>
      <c r="J210" s="20"/>
      <c r="K210" s="20"/>
      <c r="L210" s="11" t="str">
        <f aca="false">IF(C210="","",F210*IFERROR(INDEX(Productos!$F$5:$F$104,MATCH(C210,Productos!$B$5:$B$104,0)),0))</f>
        <v/>
      </c>
      <c r="M210" s="11" t="str">
        <f aca="false">IF(C210="","",I210-L210)</f>
        <v/>
      </c>
    </row>
    <row r="211" customFormat="false" ht="15" hidden="false" customHeight="false" outlineLevel="0" collapsed="false">
      <c r="A211" s="25"/>
      <c r="B211" s="20"/>
      <c r="C211" s="20"/>
      <c r="D211" s="7" t="str">
        <f aca="false">IF(C211="","",IFERROR(INDEX(Productos!$A$5:$A$104,MATCH(C211,Productos!$B$5:$B$104,0)),""))</f>
        <v/>
      </c>
      <c r="E211" s="7" t="str">
        <f aca="false">IF(C211="","",IFERROR(INDEX(Productos!$C$5:$C$104,MATCH(C211,Productos!$B$5:$B$104,0)),""))</f>
        <v/>
      </c>
      <c r="F211" s="21"/>
      <c r="G211" s="11" t="str">
        <f aca="false">IF(C211="","",IFERROR(INDEX(Productos!$G$5:$G$104,MATCH(C211,Productos!$B$5:$B$104,0)),0))</f>
        <v/>
      </c>
      <c r="H211" s="26"/>
      <c r="I211" s="11" t="str">
        <f aca="false">IF(C211="","",F211*G211*(1-H211))</f>
        <v/>
      </c>
      <c r="J211" s="20"/>
      <c r="K211" s="20"/>
      <c r="L211" s="11" t="str">
        <f aca="false">IF(C211="","",F211*IFERROR(INDEX(Productos!$F$5:$F$104,MATCH(C211,Productos!$B$5:$B$104,0)),0))</f>
        <v/>
      </c>
      <c r="M211" s="11" t="str">
        <f aca="false">IF(C211="","",I211-L211)</f>
        <v/>
      </c>
    </row>
    <row r="212" customFormat="false" ht="15" hidden="false" customHeight="false" outlineLevel="0" collapsed="false">
      <c r="A212" s="25"/>
      <c r="B212" s="20"/>
      <c r="C212" s="20"/>
      <c r="D212" s="7" t="str">
        <f aca="false">IF(C212="","",IFERROR(INDEX(Productos!$A$5:$A$104,MATCH(C212,Productos!$B$5:$B$104,0)),""))</f>
        <v/>
      </c>
      <c r="E212" s="7" t="str">
        <f aca="false">IF(C212="","",IFERROR(INDEX(Productos!$C$5:$C$104,MATCH(C212,Productos!$B$5:$B$104,0)),""))</f>
        <v/>
      </c>
      <c r="F212" s="21"/>
      <c r="G212" s="11" t="str">
        <f aca="false">IF(C212="","",IFERROR(INDEX(Productos!$G$5:$G$104,MATCH(C212,Productos!$B$5:$B$104,0)),0))</f>
        <v/>
      </c>
      <c r="H212" s="26"/>
      <c r="I212" s="11" t="str">
        <f aca="false">IF(C212="","",F212*G212*(1-H212))</f>
        <v/>
      </c>
      <c r="J212" s="20"/>
      <c r="K212" s="20"/>
      <c r="L212" s="11" t="str">
        <f aca="false">IF(C212="","",F212*IFERROR(INDEX(Productos!$F$5:$F$104,MATCH(C212,Productos!$B$5:$B$104,0)),0))</f>
        <v/>
      </c>
      <c r="M212" s="11" t="str">
        <f aca="false">IF(C212="","",I212-L212)</f>
        <v/>
      </c>
    </row>
    <row r="213" customFormat="false" ht="15" hidden="false" customHeight="false" outlineLevel="0" collapsed="false">
      <c r="A213" s="25"/>
      <c r="B213" s="20"/>
      <c r="C213" s="20"/>
      <c r="D213" s="7" t="str">
        <f aca="false">IF(C213="","",IFERROR(INDEX(Productos!$A$5:$A$104,MATCH(C213,Productos!$B$5:$B$104,0)),""))</f>
        <v/>
      </c>
      <c r="E213" s="7" t="str">
        <f aca="false">IF(C213="","",IFERROR(INDEX(Productos!$C$5:$C$104,MATCH(C213,Productos!$B$5:$B$104,0)),""))</f>
        <v/>
      </c>
      <c r="F213" s="21"/>
      <c r="G213" s="11" t="str">
        <f aca="false">IF(C213="","",IFERROR(INDEX(Productos!$G$5:$G$104,MATCH(C213,Productos!$B$5:$B$104,0)),0))</f>
        <v/>
      </c>
      <c r="H213" s="26"/>
      <c r="I213" s="11" t="str">
        <f aca="false">IF(C213="","",F213*G213*(1-H213))</f>
        <v/>
      </c>
      <c r="J213" s="20"/>
      <c r="K213" s="20"/>
      <c r="L213" s="11" t="str">
        <f aca="false">IF(C213="","",F213*IFERROR(INDEX(Productos!$F$5:$F$104,MATCH(C213,Productos!$B$5:$B$104,0)),0))</f>
        <v/>
      </c>
      <c r="M213" s="11" t="str">
        <f aca="false">IF(C213="","",I213-L213)</f>
        <v/>
      </c>
    </row>
    <row r="214" customFormat="false" ht="15" hidden="false" customHeight="false" outlineLevel="0" collapsed="false">
      <c r="A214" s="25"/>
      <c r="B214" s="20"/>
      <c r="C214" s="20"/>
      <c r="D214" s="7" t="str">
        <f aca="false">IF(C214="","",IFERROR(INDEX(Productos!$A$5:$A$104,MATCH(C214,Productos!$B$5:$B$104,0)),""))</f>
        <v/>
      </c>
      <c r="E214" s="7" t="str">
        <f aca="false">IF(C214="","",IFERROR(INDEX(Productos!$C$5:$C$104,MATCH(C214,Productos!$B$5:$B$104,0)),""))</f>
        <v/>
      </c>
      <c r="F214" s="21"/>
      <c r="G214" s="11" t="str">
        <f aca="false">IF(C214="","",IFERROR(INDEX(Productos!$G$5:$G$104,MATCH(C214,Productos!$B$5:$B$104,0)),0))</f>
        <v/>
      </c>
      <c r="H214" s="26"/>
      <c r="I214" s="11" t="str">
        <f aca="false">IF(C214="","",F214*G214*(1-H214))</f>
        <v/>
      </c>
      <c r="J214" s="20"/>
      <c r="K214" s="20"/>
      <c r="L214" s="11" t="str">
        <f aca="false">IF(C214="","",F214*IFERROR(INDEX(Productos!$F$5:$F$104,MATCH(C214,Productos!$B$5:$B$104,0)),0))</f>
        <v/>
      </c>
      <c r="M214" s="11" t="str">
        <f aca="false">IF(C214="","",I214-L214)</f>
        <v/>
      </c>
    </row>
    <row r="215" customFormat="false" ht="15" hidden="false" customHeight="false" outlineLevel="0" collapsed="false">
      <c r="A215" s="25"/>
      <c r="B215" s="20"/>
      <c r="C215" s="20"/>
      <c r="D215" s="7" t="str">
        <f aca="false">IF(C215="","",IFERROR(INDEX(Productos!$A$5:$A$104,MATCH(C215,Productos!$B$5:$B$104,0)),""))</f>
        <v/>
      </c>
      <c r="E215" s="7" t="str">
        <f aca="false">IF(C215="","",IFERROR(INDEX(Productos!$C$5:$C$104,MATCH(C215,Productos!$B$5:$B$104,0)),""))</f>
        <v/>
      </c>
      <c r="F215" s="21"/>
      <c r="G215" s="11" t="str">
        <f aca="false">IF(C215="","",IFERROR(INDEX(Productos!$G$5:$G$104,MATCH(C215,Productos!$B$5:$B$104,0)),0))</f>
        <v/>
      </c>
      <c r="H215" s="26"/>
      <c r="I215" s="11" t="str">
        <f aca="false">IF(C215="","",F215*G215*(1-H215))</f>
        <v/>
      </c>
      <c r="J215" s="20"/>
      <c r="K215" s="20"/>
      <c r="L215" s="11" t="str">
        <f aca="false">IF(C215="","",F215*IFERROR(INDEX(Productos!$F$5:$F$104,MATCH(C215,Productos!$B$5:$B$104,0)),0))</f>
        <v/>
      </c>
      <c r="M215" s="11" t="str">
        <f aca="false">IF(C215="","",I215-L215)</f>
        <v/>
      </c>
    </row>
    <row r="216" customFormat="false" ht="15" hidden="false" customHeight="false" outlineLevel="0" collapsed="false">
      <c r="A216" s="25"/>
      <c r="B216" s="20"/>
      <c r="C216" s="20"/>
      <c r="D216" s="7" t="str">
        <f aca="false">IF(C216="","",IFERROR(INDEX(Productos!$A$5:$A$104,MATCH(C216,Productos!$B$5:$B$104,0)),""))</f>
        <v/>
      </c>
      <c r="E216" s="7" t="str">
        <f aca="false">IF(C216="","",IFERROR(INDEX(Productos!$C$5:$C$104,MATCH(C216,Productos!$B$5:$B$104,0)),""))</f>
        <v/>
      </c>
      <c r="F216" s="21"/>
      <c r="G216" s="11" t="str">
        <f aca="false">IF(C216="","",IFERROR(INDEX(Productos!$G$5:$G$104,MATCH(C216,Productos!$B$5:$B$104,0)),0))</f>
        <v/>
      </c>
      <c r="H216" s="26"/>
      <c r="I216" s="11" t="str">
        <f aca="false">IF(C216="","",F216*G216*(1-H216))</f>
        <v/>
      </c>
      <c r="J216" s="20"/>
      <c r="K216" s="20"/>
      <c r="L216" s="11" t="str">
        <f aca="false">IF(C216="","",F216*IFERROR(INDEX(Productos!$F$5:$F$104,MATCH(C216,Productos!$B$5:$B$104,0)),0))</f>
        <v/>
      </c>
      <c r="M216" s="11" t="str">
        <f aca="false">IF(C216="","",I216-L216)</f>
        <v/>
      </c>
    </row>
    <row r="217" customFormat="false" ht="15" hidden="false" customHeight="false" outlineLevel="0" collapsed="false">
      <c r="A217" s="25"/>
      <c r="B217" s="20"/>
      <c r="C217" s="20"/>
      <c r="D217" s="7" t="str">
        <f aca="false">IF(C217="","",IFERROR(INDEX(Productos!$A$5:$A$104,MATCH(C217,Productos!$B$5:$B$104,0)),""))</f>
        <v/>
      </c>
      <c r="E217" s="7" t="str">
        <f aca="false">IF(C217="","",IFERROR(INDEX(Productos!$C$5:$C$104,MATCH(C217,Productos!$B$5:$B$104,0)),""))</f>
        <v/>
      </c>
      <c r="F217" s="21"/>
      <c r="G217" s="11" t="str">
        <f aca="false">IF(C217="","",IFERROR(INDEX(Productos!$G$5:$G$104,MATCH(C217,Productos!$B$5:$B$104,0)),0))</f>
        <v/>
      </c>
      <c r="H217" s="26"/>
      <c r="I217" s="11" t="str">
        <f aca="false">IF(C217="","",F217*G217*(1-H217))</f>
        <v/>
      </c>
      <c r="J217" s="20"/>
      <c r="K217" s="20"/>
      <c r="L217" s="11" t="str">
        <f aca="false">IF(C217="","",F217*IFERROR(INDEX(Productos!$F$5:$F$104,MATCH(C217,Productos!$B$5:$B$104,0)),0))</f>
        <v/>
      </c>
      <c r="M217" s="11" t="str">
        <f aca="false">IF(C217="","",I217-L217)</f>
        <v/>
      </c>
    </row>
    <row r="218" customFormat="false" ht="15" hidden="false" customHeight="false" outlineLevel="0" collapsed="false">
      <c r="A218" s="25"/>
      <c r="B218" s="20"/>
      <c r="C218" s="20"/>
      <c r="D218" s="7" t="str">
        <f aca="false">IF(C218="","",IFERROR(INDEX(Productos!$A$5:$A$104,MATCH(C218,Productos!$B$5:$B$104,0)),""))</f>
        <v/>
      </c>
      <c r="E218" s="7" t="str">
        <f aca="false">IF(C218="","",IFERROR(INDEX(Productos!$C$5:$C$104,MATCH(C218,Productos!$B$5:$B$104,0)),""))</f>
        <v/>
      </c>
      <c r="F218" s="21"/>
      <c r="G218" s="11" t="str">
        <f aca="false">IF(C218="","",IFERROR(INDEX(Productos!$G$5:$G$104,MATCH(C218,Productos!$B$5:$B$104,0)),0))</f>
        <v/>
      </c>
      <c r="H218" s="26"/>
      <c r="I218" s="11" t="str">
        <f aca="false">IF(C218="","",F218*G218*(1-H218))</f>
        <v/>
      </c>
      <c r="J218" s="20"/>
      <c r="K218" s="20"/>
      <c r="L218" s="11" t="str">
        <f aca="false">IF(C218="","",F218*IFERROR(INDEX(Productos!$F$5:$F$104,MATCH(C218,Productos!$B$5:$B$104,0)),0))</f>
        <v/>
      </c>
      <c r="M218" s="11" t="str">
        <f aca="false">IF(C218="","",I218-L218)</f>
        <v/>
      </c>
    </row>
    <row r="219" customFormat="false" ht="15" hidden="false" customHeight="false" outlineLevel="0" collapsed="false">
      <c r="A219" s="25"/>
      <c r="B219" s="20"/>
      <c r="C219" s="20"/>
      <c r="D219" s="7" t="str">
        <f aca="false">IF(C219="","",IFERROR(INDEX(Productos!$A$5:$A$104,MATCH(C219,Productos!$B$5:$B$104,0)),""))</f>
        <v/>
      </c>
      <c r="E219" s="7" t="str">
        <f aca="false">IF(C219="","",IFERROR(INDEX(Productos!$C$5:$C$104,MATCH(C219,Productos!$B$5:$B$104,0)),""))</f>
        <v/>
      </c>
      <c r="F219" s="21"/>
      <c r="G219" s="11" t="str">
        <f aca="false">IF(C219="","",IFERROR(INDEX(Productos!$G$5:$G$104,MATCH(C219,Productos!$B$5:$B$104,0)),0))</f>
        <v/>
      </c>
      <c r="H219" s="26"/>
      <c r="I219" s="11" t="str">
        <f aca="false">IF(C219="","",F219*G219*(1-H219))</f>
        <v/>
      </c>
      <c r="J219" s="20"/>
      <c r="K219" s="20"/>
      <c r="L219" s="11" t="str">
        <f aca="false">IF(C219="","",F219*IFERROR(INDEX(Productos!$F$5:$F$104,MATCH(C219,Productos!$B$5:$B$104,0)),0))</f>
        <v/>
      </c>
      <c r="M219" s="11" t="str">
        <f aca="false">IF(C219="","",I219-L219)</f>
        <v/>
      </c>
    </row>
    <row r="220" customFormat="false" ht="15" hidden="false" customHeight="false" outlineLevel="0" collapsed="false">
      <c r="A220" s="25"/>
      <c r="B220" s="20"/>
      <c r="C220" s="20"/>
      <c r="D220" s="7" t="str">
        <f aca="false">IF(C220="","",IFERROR(INDEX(Productos!$A$5:$A$104,MATCH(C220,Productos!$B$5:$B$104,0)),""))</f>
        <v/>
      </c>
      <c r="E220" s="7" t="str">
        <f aca="false">IF(C220="","",IFERROR(INDEX(Productos!$C$5:$C$104,MATCH(C220,Productos!$B$5:$B$104,0)),""))</f>
        <v/>
      </c>
      <c r="F220" s="21"/>
      <c r="G220" s="11" t="str">
        <f aca="false">IF(C220="","",IFERROR(INDEX(Productos!$G$5:$G$104,MATCH(C220,Productos!$B$5:$B$104,0)),0))</f>
        <v/>
      </c>
      <c r="H220" s="26"/>
      <c r="I220" s="11" t="str">
        <f aca="false">IF(C220="","",F220*G220*(1-H220))</f>
        <v/>
      </c>
      <c r="J220" s="20"/>
      <c r="K220" s="20"/>
      <c r="L220" s="11" t="str">
        <f aca="false">IF(C220="","",F220*IFERROR(INDEX(Productos!$F$5:$F$104,MATCH(C220,Productos!$B$5:$B$104,0)),0))</f>
        <v/>
      </c>
      <c r="M220" s="11" t="str">
        <f aca="false">IF(C220="","",I220-L220)</f>
        <v/>
      </c>
    </row>
    <row r="221" customFormat="false" ht="15" hidden="false" customHeight="false" outlineLevel="0" collapsed="false">
      <c r="A221" s="25"/>
      <c r="B221" s="20"/>
      <c r="C221" s="20"/>
      <c r="D221" s="7" t="str">
        <f aca="false">IF(C221="","",IFERROR(INDEX(Productos!$A$5:$A$104,MATCH(C221,Productos!$B$5:$B$104,0)),""))</f>
        <v/>
      </c>
      <c r="E221" s="7" t="str">
        <f aca="false">IF(C221="","",IFERROR(INDEX(Productos!$C$5:$C$104,MATCH(C221,Productos!$B$5:$B$104,0)),""))</f>
        <v/>
      </c>
      <c r="F221" s="21"/>
      <c r="G221" s="11" t="str">
        <f aca="false">IF(C221="","",IFERROR(INDEX(Productos!$G$5:$G$104,MATCH(C221,Productos!$B$5:$B$104,0)),0))</f>
        <v/>
      </c>
      <c r="H221" s="26"/>
      <c r="I221" s="11" t="str">
        <f aca="false">IF(C221="","",F221*G221*(1-H221))</f>
        <v/>
      </c>
      <c r="J221" s="20"/>
      <c r="K221" s="20"/>
      <c r="L221" s="11" t="str">
        <f aca="false">IF(C221="","",F221*IFERROR(INDEX(Productos!$F$5:$F$104,MATCH(C221,Productos!$B$5:$B$104,0)),0))</f>
        <v/>
      </c>
      <c r="M221" s="11" t="str">
        <f aca="false">IF(C221="","",I221-L221)</f>
        <v/>
      </c>
    </row>
    <row r="222" customFormat="false" ht="15" hidden="false" customHeight="false" outlineLevel="0" collapsed="false">
      <c r="A222" s="25"/>
      <c r="B222" s="20"/>
      <c r="C222" s="20"/>
      <c r="D222" s="7" t="str">
        <f aca="false">IF(C222="","",IFERROR(INDEX(Productos!$A$5:$A$104,MATCH(C222,Productos!$B$5:$B$104,0)),""))</f>
        <v/>
      </c>
      <c r="E222" s="7" t="str">
        <f aca="false">IF(C222="","",IFERROR(INDEX(Productos!$C$5:$C$104,MATCH(C222,Productos!$B$5:$B$104,0)),""))</f>
        <v/>
      </c>
      <c r="F222" s="21"/>
      <c r="G222" s="11" t="str">
        <f aca="false">IF(C222="","",IFERROR(INDEX(Productos!$G$5:$G$104,MATCH(C222,Productos!$B$5:$B$104,0)),0))</f>
        <v/>
      </c>
      <c r="H222" s="26"/>
      <c r="I222" s="11" t="str">
        <f aca="false">IF(C222="","",F222*G222*(1-H222))</f>
        <v/>
      </c>
      <c r="J222" s="20"/>
      <c r="K222" s="20"/>
      <c r="L222" s="11" t="str">
        <f aca="false">IF(C222="","",F222*IFERROR(INDEX(Productos!$F$5:$F$104,MATCH(C222,Productos!$B$5:$B$104,0)),0))</f>
        <v/>
      </c>
      <c r="M222" s="11" t="str">
        <f aca="false">IF(C222="","",I222-L222)</f>
        <v/>
      </c>
    </row>
    <row r="223" customFormat="false" ht="15" hidden="false" customHeight="false" outlineLevel="0" collapsed="false">
      <c r="A223" s="25"/>
      <c r="B223" s="20"/>
      <c r="C223" s="20"/>
      <c r="D223" s="7" t="str">
        <f aca="false">IF(C223="","",IFERROR(INDEX(Productos!$A$5:$A$104,MATCH(C223,Productos!$B$5:$B$104,0)),""))</f>
        <v/>
      </c>
      <c r="E223" s="7" t="str">
        <f aca="false">IF(C223="","",IFERROR(INDEX(Productos!$C$5:$C$104,MATCH(C223,Productos!$B$5:$B$104,0)),""))</f>
        <v/>
      </c>
      <c r="F223" s="21"/>
      <c r="G223" s="11" t="str">
        <f aca="false">IF(C223="","",IFERROR(INDEX(Productos!$G$5:$G$104,MATCH(C223,Productos!$B$5:$B$104,0)),0))</f>
        <v/>
      </c>
      <c r="H223" s="26"/>
      <c r="I223" s="11" t="str">
        <f aca="false">IF(C223="","",F223*G223*(1-H223))</f>
        <v/>
      </c>
      <c r="J223" s="20"/>
      <c r="K223" s="20"/>
      <c r="L223" s="11" t="str">
        <f aca="false">IF(C223="","",F223*IFERROR(INDEX(Productos!$F$5:$F$104,MATCH(C223,Productos!$B$5:$B$104,0)),0))</f>
        <v/>
      </c>
      <c r="M223" s="11" t="str">
        <f aca="false">IF(C223="","",I223-L223)</f>
        <v/>
      </c>
    </row>
    <row r="224" customFormat="false" ht="15" hidden="false" customHeight="false" outlineLevel="0" collapsed="false">
      <c r="A224" s="25"/>
      <c r="B224" s="20"/>
      <c r="C224" s="20"/>
      <c r="D224" s="7" t="str">
        <f aca="false">IF(C224="","",IFERROR(INDEX(Productos!$A$5:$A$104,MATCH(C224,Productos!$B$5:$B$104,0)),""))</f>
        <v/>
      </c>
      <c r="E224" s="7" t="str">
        <f aca="false">IF(C224="","",IFERROR(INDEX(Productos!$C$5:$C$104,MATCH(C224,Productos!$B$5:$B$104,0)),""))</f>
        <v/>
      </c>
      <c r="F224" s="21"/>
      <c r="G224" s="11" t="str">
        <f aca="false">IF(C224="","",IFERROR(INDEX(Productos!$G$5:$G$104,MATCH(C224,Productos!$B$5:$B$104,0)),0))</f>
        <v/>
      </c>
      <c r="H224" s="26"/>
      <c r="I224" s="11" t="str">
        <f aca="false">IF(C224="","",F224*G224*(1-H224))</f>
        <v/>
      </c>
      <c r="J224" s="20"/>
      <c r="K224" s="20"/>
      <c r="L224" s="11" t="str">
        <f aca="false">IF(C224="","",F224*IFERROR(INDEX(Productos!$F$5:$F$104,MATCH(C224,Productos!$B$5:$B$104,0)),0))</f>
        <v/>
      </c>
      <c r="M224" s="11" t="str">
        <f aca="false">IF(C224="","",I224-L224)</f>
        <v/>
      </c>
    </row>
    <row r="225" customFormat="false" ht="15" hidden="false" customHeight="false" outlineLevel="0" collapsed="false">
      <c r="A225" s="25"/>
      <c r="B225" s="20"/>
      <c r="C225" s="20"/>
      <c r="D225" s="7" t="str">
        <f aca="false">IF(C225="","",IFERROR(INDEX(Productos!$A$5:$A$104,MATCH(C225,Productos!$B$5:$B$104,0)),""))</f>
        <v/>
      </c>
      <c r="E225" s="7" t="str">
        <f aca="false">IF(C225="","",IFERROR(INDEX(Productos!$C$5:$C$104,MATCH(C225,Productos!$B$5:$B$104,0)),""))</f>
        <v/>
      </c>
      <c r="F225" s="21"/>
      <c r="G225" s="11" t="str">
        <f aca="false">IF(C225="","",IFERROR(INDEX(Productos!$G$5:$G$104,MATCH(C225,Productos!$B$5:$B$104,0)),0))</f>
        <v/>
      </c>
      <c r="H225" s="26"/>
      <c r="I225" s="11" t="str">
        <f aca="false">IF(C225="","",F225*G225*(1-H225))</f>
        <v/>
      </c>
      <c r="J225" s="20"/>
      <c r="K225" s="20"/>
      <c r="L225" s="11" t="str">
        <f aca="false">IF(C225="","",F225*IFERROR(INDEX(Productos!$F$5:$F$104,MATCH(C225,Productos!$B$5:$B$104,0)),0))</f>
        <v/>
      </c>
      <c r="M225" s="11" t="str">
        <f aca="false">IF(C225="","",I225-L225)</f>
        <v/>
      </c>
    </row>
    <row r="226" customFormat="false" ht="15" hidden="false" customHeight="false" outlineLevel="0" collapsed="false">
      <c r="A226" s="25"/>
      <c r="B226" s="20"/>
      <c r="C226" s="20"/>
      <c r="D226" s="7" t="str">
        <f aca="false">IF(C226="","",IFERROR(INDEX(Productos!$A$5:$A$104,MATCH(C226,Productos!$B$5:$B$104,0)),""))</f>
        <v/>
      </c>
      <c r="E226" s="7" t="str">
        <f aca="false">IF(C226="","",IFERROR(INDEX(Productos!$C$5:$C$104,MATCH(C226,Productos!$B$5:$B$104,0)),""))</f>
        <v/>
      </c>
      <c r="F226" s="21"/>
      <c r="G226" s="11" t="str">
        <f aca="false">IF(C226="","",IFERROR(INDEX(Productos!$G$5:$G$104,MATCH(C226,Productos!$B$5:$B$104,0)),0))</f>
        <v/>
      </c>
      <c r="H226" s="26"/>
      <c r="I226" s="11" t="str">
        <f aca="false">IF(C226="","",F226*G226*(1-H226))</f>
        <v/>
      </c>
      <c r="J226" s="20"/>
      <c r="K226" s="20"/>
      <c r="L226" s="11" t="str">
        <f aca="false">IF(C226="","",F226*IFERROR(INDEX(Productos!$F$5:$F$104,MATCH(C226,Productos!$B$5:$B$104,0)),0))</f>
        <v/>
      </c>
      <c r="M226" s="11" t="str">
        <f aca="false">IF(C226="","",I226-L226)</f>
        <v/>
      </c>
    </row>
    <row r="227" customFormat="false" ht="15" hidden="false" customHeight="false" outlineLevel="0" collapsed="false">
      <c r="A227" s="25"/>
      <c r="B227" s="20"/>
      <c r="C227" s="20"/>
      <c r="D227" s="7" t="str">
        <f aca="false">IF(C227="","",IFERROR(INDEX(Productos!$A$5:$A$104,MATCH(C227,Productos!$B$5:$B$104,0)),""))</f>
        <v/>
      </c>
      <c r="E227" s="7" t="str">
        <f aca="false">IF(C227="","",IFERROR(INDEX(Productos!$C$5:$C$104,MATCH(C227,Productos!$B$5:$B$104,0)),""))</f>
        <v/>
      </c>
      <c r="F227" s="21"/>
      <c r="G227" s="11" t="str">
        <f aca="false">IF(C227="","",IFERROR(INDEX(Productos!$G$5:$G$104,MATCH(C227,Productos!$B$5:$B$104,0)),0))</f>
        <v/>
      </c>
      <c r="H227" s="26"/>
      <c r="I227" s="11" t="str">
        <f aca="false">IF(C227="","",F227*G227*(1-H227))</f>
        <v/>
      </c>
      <c r="J227" s="20"/>
      <c r="K227" s="20"/>
      <c r="L227" s="11" t="str">
        <f aca="false">IF(C227="","",F227*IFERROR(INDEX(Productos!$F$5:$F$104,MATCH(C227,Productos!$B$5:$B$104,0)),0))</f>
        <v/>
      </c>
      <c r="M227" s="11" t="str">
        <f aca="false">IF(C227="","",I227-L227)</f>
        <v/>
      </c>
    </row>
    <row r="228" customFormat="false" ht="15" hidden="false" customHeight="false" outlineLevel="0" collapsed="false">
      <c r="A228" s="25"/>
      <c r="B228" s="20"/>
      <c r="C228" s="20"/>
      <c r="D228" s="7" t="str">
        <f aca="false">IF(C228="","",IFERROR(INDEX(Productos!$A$5:$A$104,MATCH(C228,Productos!$B$5:$B$104,0)),""))</f>
        <v/>
      </c>
      <c r="E228" s="7" t="str">
        <f aca="false">IF(C228="","",IFERROR(INDEX(Productos!$C$5:$C$104,MATCH(C228,Productos!$B$5:$B$104,0)),""))</f>
        <v/>
      </c>
      <c r="F228" s="21"/>
      <c r="G228" s="11" t="str">
        <f aca="false">IF(C228="","",IFERROR(INDEX(Productos!$G$5:$G$104,MATCH(C228,Productos!$B$5:$B$104,0)),0))</f>
        <v/>
      </c>
      <c r="H228" s="26"/>
      <c r="I228" s="11" t="str">
        <f aca="false">IF(C228="","",F228*G228*(1-H228))</f>
        <v/>
      </c>
      <c r="J228" s="20"/>
      <c r="K228" s="20"/>
      <c r="L228" s="11" t="str">
        <f aca="false">IF(C228="","",F228*IFERROR(INDEX(Productos!$F$5:$F$104,MATCH(C228,Productos!$B$5:$B$104,0)),0))</f>
        <v/>
      </c>
      <c r="M228" s="11" t="str">
        <f aca="false">IF(C228="","",I228-L228)</f>
        <v/>
      </c>
    </row>
    <row r="229" customFormat="false" ht="15" hidden="false" customHeight="false" outlineLevel="0" collapsed="false">
      <c r="A229" s="25"/>
      <c r="B229" s="20"/>
      <c r="C229" s="20"/>
      <c r="D229" s="7" t="str">
        <f aca="false">IF(C229="","",IFERROR(INDEX(Productos!$A$5:$A$104,MATCH(C229,Productos!$B$5:$B$104,0)),""))</f>
        <v/>
      </c>
      <c r="E229" s="7" t="str">
        <f aca="false">IF(C229="","",IFERROR(INDEX(Productos!$C$5:$C$104,MATCH(C229,Productos!$B$5:$B$104,0)),""))</f>
        <v/>
      </c>
      <c r="F229" s="21"/>
      <c r="G229" s="11" t="str">
        <f aca="false">IF(C229="","",IFERROR(INDEX(Productos!$G$5:$G$104,MATCH(C229,Productos!$B$5:$B$104,0)),0))</f>
        <v/>
      </c>
      <c r="H229" s="26"/>
      <c r="I229" s="11" t="str">
        <f aca="false">IF(C229="","",F229*G229*(1-H229))</f>
        <v/>
      </c>
      <c r="J229" s="20"/>
      <c r="K229" s="20"/>
      <c r="L229" s="11" t="str">
        <f aca="false">IF(C229="","",F229*IFERROR(INDEX(Productos!$F$5:$F$104,MATCH(C229,Productos!$B$5:$B$104,0)),0))</f>
        <v/>
      </c>
      <c r="M229" s="11" t="str">
        <f aca="false">IF(C229="","",I229-L229)</f>
        <v/>
      </c>
    </row>
    <row r="230" customFormat="false" ht="15" hidden="false" customHeight="false" outlineLevel="0" collapsed="false">
      <c r="A230" s="25"/>
      <c r="B230" s="20"/>
      <c r="C230" s="20"/>
      <c r="D230" s="7" t="str">
        <f aca="false">IF(C230="","",IFERROR(INDEX(Productos!$A$5:$A$104,MATCH(C230,Productos!$B$5:$B$104,0)),""))</f>
        <v/>
      </c>
      <c r="E230" s="7" t="str">
        <f aca="false">IF(C230="","",IFERROR(INDEX(Productos!$C$5:$C$104,MATCH(C230,Productos!$B$5:$B$104,0)),""))</f>
        <v/>
      </c>
      <c r="F230" s="21"/>
      <c r="G230" s="11" t="str">
        <f aca="false">IF(C230="","",IFERROR(INDEX(Productos!$G$5:$G$104,MATCH(C230,Productos!$B$5:$B$104,0)),0))</f>
        <v/>
      </c>
      <c r="H230" s="26"/>
      <c r="I230" s="11" t="str">
        <f aca="false">IF(C230="","",F230*G230*(1-H230))</f>
        <v/>
      </c>
      <c r="J230" s="20"/>
      <c r="K230" s="20"/>
      <c r="L230" s="11" t="str">
        <f aca="false">IF(C230="","",F230*IFERROR(INDEX(Productos!$F$5:$F$104,MATCH(C230,Productos!$B$5:$B$104,0)),0))</f>
        <v/>
      </c>
      <c r="M230" s="11" t="str">
        <f aca="false">IF(C230="","",I230-L230)</f>
        <v/>
      </c>
    </row>
    <row r="231" customFormat="false" ht="15" hidden="false" customHeight="false" outlineLevel="0" collapsed="false">
      <c r="A231" s="25"/>
      <c r="B231" s="20"/>
      <c r="C231" s="20"/>
      <c r="D231" s="7" t="str">
        <f aca="false">IF(C231="","",IFERROR(INDEX(Productos!$A$5:$A$104,MATCH(C231,Productos!$B$5:$B$104,0)),""))</f>
        <v/>
      </c>
      <c r="E231" s="7" t="str">
        <f aca="false">IF(C231="","",IFERROR(INDEX(Productos!$C$5:$C$104,MATCH(C231,Productos!$B$5:$B$104,0)),""))</f>
        <v/>
      </c>
      <c r="F231" s="21"/>
      <c r="G231" s="11" t="str">
        <f aca="false">IF(C231="","",IFERROR(INDEX(Productos!$G$5:$G$104,MATCH(C231,Productos!$B$5:$B$104,0)),0))</f>
        <v/>
      </c>
      <c r="H231" s="26"/>
      <c r="I231" s="11" t="str">
        <f aca="false">IF(C231="","",F231*G231*(1-H231))</f>
        <v/>
      </c>
      <c r="J231" s="20"/>
      <c r="K231" s="20"/>
      <c r="L231" s="11" t="str">
        <f aca="false">IF(C231="","",F231*IFERROR(INDEX(Productos!$F$5:$F$104,MATCH(C231,Productos!$B$5:$B$104,0)),0))</f>
        <v/>
      </c>
      <c r="M231" s="11" t="str">
        <f aca="false">IF(C231="","",I231-L231)</f>
        <v/>
      </c>
    </row>
    <row r="232" customFormat="false" ht="15" hidden="false" customHeight="false" outlineLevel="0" collapsed="false">
      <c r="A232" s="25"/>
      <c r="B232" s="20"/>
      <c r="C232" s="20"/>
      <c r="D232" s="7" t="str">
        <f aca="false">IF(C232="","",IFERROR(INDEX(Productos!$A$5:$A$104,MATCH(C232,Productos!$B$5:$B$104,0)),""))</f>
        <v/>
      </c>
      <c r="E232" s="7" t="str">
        <f aca="false">IF(C232="","",IFERROR(INDEX(Productos!$C$5:$C$104,MATCH(C232,Productos!$B$5:$B$104,0)),""))</f>
        <v/>
      </c>
      <c r="F232" s="21"/>
      <c r="G232" s="11" t="str">
        <f aca="false">IF(C232="","",IFERROR(INDEX(Productos!$G$5:$G$104,MATCH(C232,Productos!$B$5:$B$104,0)),0))</f>
        <v/>
      </c>
      <c r="H232" s="26"/>
      <c r="I232" s="11" t="str">
        <f aca="false">IF(C232="","",F232*G232*(1-H232))</f>
        <v/>
      </c>
      <c r="J232" s="20"/>
      <c r="K232" s="20"/>
      <c r="L232" s="11" t="str">
        <f aca="false">IF(C232="","",F232*IFERROR(INDEX(Productos!$F$5:$F$104,MATCH(C232,Productos!$B$5:$B$104,0)),0))</f>
        <v/>
      </c>
      <c r="M232" s="11" t="str">
        <f aca="false">IF(C232="","",I232-L232)</f>
        <v/>
      </c>
    </row>
    <row r="233" customFormat="false" ht="15" hidden="false" customHeight="false" outlineLevel="0" collapsed="false">
      <c r="A233" s="25"/>
      <c r="B233" s="20"/>
      <c r="C233" s="20"/>
      <c r="D233" s="7" t="str">
        <f aca="false">IF(C233="","",IFERROR(INDEX(Productos!$A$5:$A$104,MATCH(C233,Productos!$B$5:$B$104,0)),""))</f>
        <v/>
      </c>
      <c r="E233" s="7" t="str">
        <f aca="false">IF(C233="","",IFERROR(INDEX(Productos!$C$5:$C$104,MATCH(C233,Productos!$B$5:$B$104,0)),""))</f>
        <v/>
      </c>
      <c r="F233" s="21"/>
      <c r="G233" s="11" t="str">
        <f aca="false">IF(C233="","",IFERROR(INDEX(Productos!$G$5:$G$104,MATCH(C233,Productos!$B$5:$B$104,0)),0))</f>
        <v/>
      </c>
      <c r="H233" s="26"/>
      <c r="I233" s="11" t="str">
        <f aca="false">IF(C233="","",F233*G233*(1-H233))</f>
        <v/>
      </c>
      <c r="J233" s="20"/>
      <c r="K233" s="20"/>
      <c r="L233" s="11" t="str">
        <f aca="false">IF(C233="","",F233*IFERROR(INDEX(Productos!$F$5:$F$104,MATCH(C233,Productos!$B$5:$B$104,0)),0))</f>
        <v/>
      </c>
      <c r="M233" s="11" t="str">
        <f aca="false">IF(C233="","",I233-L233)</f>
        <v/>
      </c>
    </row>
    <row r="234" customFormat="false" ht="15" hidden="false" customHeight="false" outlineLevel="0" collapsed="false">
      <c r="A234" s="25"/>
      <c r="B234" s="20"/>
      <c r="C234" s="20"/>
      <c r="D234" s="7" t="str">
        <f aca="false">IF(C234="","",IFERROR(INDEX(Productos!$A$5:$A$104,MATCH(C234,Productos!$B$5:$B$104,0)),""))</f>
        <v/>
      </c>
      <c r="E234" s="7" t="str">
        <f aca="false">IF(C234="","",IFERROR(INDEX(Productos!$C$5:$C$104,MATCH(C234,Productos!$B$5:$B$104,0)),""))</f>
        <v/>
      </c>
      <c r="F234" s="21"/>
      <c r="G234" s="11" t="str">
        <f aca="false">IF(C234="","",IFERROR(INDEX(Productos!$G$5:$G$104,MATCH(C234,Productos!$B$5:$B$104,0)),0))</f>
        <v/>
      </c>
      <c r="H234" s="26"/>
      <c r="I234" s="11" t="str">
        <f aca="false">IF(C234="","",F234*G234*(1-H234))</f>
        <v/>
      </c>
      <c r="J234" s="20"/>
      <c r="K234" s="20"/>
      <c r="L234" s="11" t="str">
        <f aca="false">IF(C234="","",F234*IFERROR(INDEX(Productos!$F$5:$F$104,MATCH(C234,Productos!$B$5:$B$104,0)),0))</f>
        <v/>
      </c>
      <c r="M234" s="11" t="str">
        <f aca="false">IF(C234="","",I234-L234)</f>
        <v/>
      </c>
    </row>
    <row r="235" customFormat="false" ht="15" hidden="false" customHeight="false" outlineLevel="0" collapsed="false">
      <c r="A235" s="25"/>
      <c r="B235" s="20"/>
      <c r="C235" s="20"/>
      <c r="D235" s="7" t="str">
        <f aca="false">IF(C235="","",IFERROR(INDEX(Productos!$A$5:$A$104,MATCH(C235,Productos!$B$5:$B$104,0)),""))</f>
        <v/>
      </c>
      <c r="E235" s="7" t="str">
        <f aca="false">IF(C235="","",IFERROR(INDEX(Productos!$C$5:$C$104,MATCH(C235,Productos!$B$5:$B$104,0)),""))</f>
        <v/>
      </c>
      <c r="F235" s="21"/>
      <c r="G235" s="11" t="str">
        <f aca="false">IF(C235="","",IFERROR(INDEX(Productos!$G$5:$G$104,MATCH(C235,Productos!$B$5:$B$104,0)),0))</f>
        <v/>
      </c>
      <c r="H235" s="26"/>
      <c r="I235" s="11" t="str">
        <f aca="false">IF(C235="","",F235*G235*(1-H235))</f>
        <v/>
      </c>
      <c r="J235" s="20"/>
      <c r="K235" s="20"/>
      <c r="L235" s="11" t="str">
        <f aca="false">IF(C235="","",F235*IFERROR(INDEX(Productos!$F$5:$F$104,MATCH(C235,Productos!$B$5:$B$104,0)),0))</f>
        <v/>
      </c>
      <c r="M235" s="11" t="str">
        <f aca="false">IF(C235="","",I235-L235)</f>
        <v/>
      </c>
    </row>
    <row r="236" customFormat="false" ht="15" hidden="false" customHeight="false" outlineLevel="0" collapsed="false">
      <c r="A236" s="25"/>
      <c r="B236" s="20"/>
      <c r="C236" s="20"/>
      <c r="D236" s="7" t="str">
        <f aca="false">IF(C236="","",IFERROR(INDEX(Productos!$A$5:$A$104,MATCH(C236,Productos!$B$5:$B$104,0)),""))</f>
        <v/>
      </c>
      <c r="E236" s="7" t="str">
        <f aca="false">IF(C236="","",IFERROR(INDEX(Productos!$C$5:$C$104,MATCH(C236,Productos!$B$5:$B$104,0)),""))</f>
        <v/>
      </c>
      <c r="F236" s="21"/>
      <c r="G236" s="11" t="str">
        <f aca="false">IF(C236="","",IFERROR(INDEX(Productos!$G$5:$G$104,MATCH(C236,Productos!$B$5:$B$104,0)),0))</f>
        <v/>
      </c>
      <c r="H236" s="26"/>
      <c r="I236" s="11" t="str">
        <f aca="false">IF(C236="","",F236*G236*(1-H236))</f>
        <v/>
      </c>
      <c r="J236" s="20"/>
      <c r="K236" s="20"/>
      <c r="L236" s="11" t="str">
        <f aca="false">IF(C236="","",F236*IFERROR(INDEX(Productos!$F$5:$F$104,MATCH(C236,Productos!$B$5:$B$104,0)),0))</f>
        <v/>
      </c>
      <c r="M236" s="11" t="str">
        <f aca="false">IF(C236="","",I236-L236)</f>
        <v/>
      </c>
    </row>
    <row r="237" customFormat="false" ht="15" hidden="false" customHeight="false" outlineLevel="0" collapsed="false">
      <c r="A237" s="25"/>
      <c r="B237" s="20"/>
      <c r="C237" s="20"/>
      <c r="D237" s="7" t="str">
        <f aca="false">IF(C237="","",IFERROR(INDEX(Productos!$A$5:$A$104,MATCH(C237,Productos!$B$5:$B$104,0)),""))</f>
        <v/>
      </c>
      <c r="E237" s="7" t="str">
        <f aca="false">IF(C237="","",IFERROR(INDEX(Productos!$C$5:$C$104,MATCH(C237,Productos!$B$5:$B$104,0)),""))</f>
        <v/>
      </c>
      <c r="F237" s="21"/>
      <c r="G237" s="11" t="str">
        <f aca="false">IF(C237="","",IFERROR(INDEX(Productos!$G$5:$G$104,MATCH(C237,Productos!$B$5:$B$104,0)),0))</f>
        <v/>
      </c>
      <c r="H237" s="26"/>
      <c r="I237" s="11" t="str">
        <f aca="false">IF(C237="","",F237*G237*(1-H237))</f>
        <v/>
      </c>
      <c r="J237" s="20"/>
      <c r="K237" s="20"/>
      <c r="L237" s="11" t="str">
        <f aca="false">IF(C237="","",F237*IFERROR(INDEX(Productos!$F$5:$F$104,MATCH(C237,Productos!$B$5:$B$104,0)),0))</f>
        <v/>
      </c>
      <c r="M237" s="11" t="str">
        <f aca="false">IF(C237="","",I237-L237)</f>
        <v/>
      </c>
    </row>
    <row r="238" customFormat="false" ht="15" hidden="false" customHeight="false" outlineLevel="0" collapsed="false">
      <c r="A238" s="25"/>
      <c r="B238" s="20"/>
      <c r="C238" s="20"/>
      <c r="D238" s="7" t="str">
        <f aca="false">IF(C238="","",IFERROR(INDEX(Productos!$A$5:$A$104,MATCH(C238,Productos!$B$5:$B$104,0)),""))</f>
        <v/>
      </c>
      <c r="E238" s="7" t="str">
        <f aca="false">IF(C238="","",IFERROR(INDEX(Productos!$C$5:$C$104,MATCH(C238,Productos!$B$5:$B$104,0)),""))</f>
        <v/>
      </c>
      <c r="F238" s="21"/>
      <c r="G238" s="11" t="str">
        <f aca="false">IF(C238="","",IFERROR(INDEX(Productos!$G$5:$G$104,MATCH(C238,Productos!$B$5:$B$104,0)),0))</f>
        <v/>
      </c>
      <c r="H238" s="26"/>
      <c r="I238" s="11" t="str">
        <f aca="false">IF(C238="","",F238*G238*(1-H238))</f>
        <v/>
      </c>
      <c r="J238" s="20"/>
      <c r="K238" s="20"/>
      <c r="L238" s="11" t="str">
        <f aca="false">IF(C238="","",F238*IFERROR(INDEX(Productos!$F$5:$F$104,MATCH(C238,Productos!$B$5:$B$104,0)),0))</f>
        <v/>
      </c>
      <c r="M238" s="11" t="str">
        <f aca="false">IF(C238="","",I238-L238)</f>
        <v/>
      </c>
    </row>
    <row r="239" customFormat="false" ht="15" hidden="false" customHeight="false" outlineLevel="0" collapsed="false">
      <c r="A239" s="25"/>
      <c r="B239" s="20"/>
      <c r="C239" s="20"/>
      <c r="D239" s="7" t="str">
        <f aca="false">IF(C239="","",IFERROR(INDEX(Productos!$A$5:$A$104,MATCH(C239,Productos!$B$5:$B$104,0)),""))</f>
        <v/>
      </c>
      <c r="E239" s="7" t="str">
        <f aca="false">IF(C239="","",IFERROR(INDEX(Productos!$C$5:$C$104,MATCH(C239,Productos!$B$5:$B$104,0)),""))</f>
        <v/>
      </c>
      <c r="F239" s="21"/>
      <c r="G239" s="11" t="str">
        <f aca="false">IF(C239="","",IFERROR(INDEX(Productos!$G$5:$G$104,MATCH(C239,Productos!$B$5:$B$104,0)),0))</f>
        <v/>
      </c>
      <c r="H239" s="26"/>
      <c r="I239" s="11" t="str">
        <f aca="false">IF(C239="","",F239*G239*(1-H239))</f>
        <v/>
      </c>
      <c r="J239" s="20"/>
      <c r="K239" s="20"/>
      <c r="L239" s="11" t="str">
        <f aca="false">IF(C239="","",F239*IFERROR(INDEX(Productos!$F$5:$F$104,MATCH(C239,Productos!$B$5:$B$104,0)),0))</f>
        <v/>
      </c>
      <c r="M239" s="11" t="str">
        <f aca="false">IF(C239="","",I239-L239)</f>
        <v/>
      </c>
    </row>
    <row r="240" customFormat="false" ht="15" hidden="false" customHeight="false" outlineLevel="0" collapsed="false">
      <c r="A240" s="25"/>
      <c r="B240" s="20"/>
      <c r="C240" s="20"/>
      <c r="D240" s="7" t="str">
        <f aca="false">IF(C240="","",IFERROR(INDEX(Productos!$A$5:$A$104,MATCH(C240,Productos!$B$5:$B$104,0)),""))</f>
        <v/>
      </c>
      <c r="E240" s="7" t="str">
        <f aca="false">IF(C240="","",IFERROR(INDEX(Productos!$C$5:$C$104,MATCH(C240,Productos!$B$5:$B$104,0)),""))</f>
        <v/>
      </c>
      <c r="F240" s="21"/>
      <c r="G240" s="11" t="str">
        <f aca="false">IF(C240="","",IFERROR(INDEX(Productos!$G$5:$G$104,MATCH(C240,Productos!$B$5:$B$104,0)),0))</f>
        <v/>
      </c>
      <c r="H240" s="26"/>
      <c r="I240" s="11" t="str">
        <f aca="false">IF(C240="","",F240*G240*(1-H240))</f>
        <v/>
      </c>
      <c r="J240" s="20"/>
      <c r="K240" s="20"/>
      <c r="L240" s="11" t="str">
        <f aca="false">IF(C240="","",F240*IFERROR(INDEX(Productos!$F$5:$F$104,MATCH(C240,Productos!$B$5:$B$104,0)),0))</f>
        <v/>
      </c>
      <c r="M240" s="11" t="str">
        <f aca="false">IF(C240="","",I240-L240)</f>
        <v/>
      </c>
    </row>
    <row r="241" customFormat="false" ht="15" hidden="false" customHeight="false" outlineLevel="0" collapsed="false">
      <c r="A241" s="25"/>
      <c r="B241" s="20"/>
      <c r="C241" s="20"/>
      <c r="D241" s="7" t="str">
        <f aca="false">IF(C241="","",IFERROR(INDEX(Productos!$A$5:$A$104,MATCH(C241,Productos!$B$5:$B$104,0)),""))</f>
        <v/>
      </c>
      <c r="E241" s="7" t="str">
        <f aca="false">IF(C241="","",IFERROR(INDEX(Productos!$C$5:$C$104,MATCH(C241,Productos!$B$5:$B$104,0)),""))</f>
        <v/>
      </c>
      <c r="F241" s="21"/>
      <c r="G241" s="11" t="str">
        <f aca="false">IF(C241="","",IFERROR(INDEX(Productos!$G$5:$G$104,MATCH(C241,Productos!$B$5:$B$104,0)),0))</f>
        <v/>
      </c>
      <c r="H241" s="26"/>
      <c r="I241" s="11" t="str">
        <f aca="false">IF(C241="","",F241*G241*(1-H241))</f>
        <v/>
      </c>
      <c r="J241" s="20"/>
      <c r="K241" s="20"/>
      <c r="L241" s="11" t="str">
        <f aca="false">IF(C241="","",F241*IFERROR(INDEX(Productos!$F$5:$F$104,MATCH(C241,Productos!$B$5:$B$104,0)),0))</f>
        <v/>
      </c>
      <c r="M241" s="11" t="str">
        <f aca="false">IF(C241="","",I241-L241)</f>
        <v/>
      </c>
    </row>
    <row r="242" customFormat="false" ht="15" hidden="false" customHeight="false" outlineLevel="0" collapsed="false">
      <c r="A242" s="25"/>
      <c r="B242" s="20"/>
      <c r="C242" s="20"/>
      <c r="D242" s="7" t="str">
        <f aca="false">IF(C242="","",IFERROR(INDEX(Productos!$A$5:$A$104,MATCH(C242,Productos!$B$5:$B$104,0)),""))</f>
        <v/>
      </c>
      <c r="E242" s="7" t="str">
        <f aca="false">IF(C242="","",IFERROR(INDEX(Productos!$C$5:$C$104,MATCH(C242,Productos!$B$5:$B$104,0)),""))</f>
        <v/>
      </c>
      <c r="F242" s="21"/>
      <c r="G242" s="11" t="str">
        <f aca="false">IF(C242="","",IFERROR(INDEX(Productos!$G$5:$G$104,MATCH(C242,Productos!$B$5:$B$104,0)),0))</f>
        <v/>
      </c>
      <c r="H242" s="26"/>
      <c r="I242" s="11" t="str">
        <f aca="false">IF(C242="","",F242*G242*(1-H242))</f>
        <v/>
      </c>
      <c r="J242" s="20"/>
      <c r="K242" s="20"/>
      <c r="L242" s="11" t="str">
        <f aca="false">IF(C242="","",F242*IFERROR(INDEX(Productos!$F$5:$F$104,MATCH(C242,Productos!$B$5:$B$104,0)),0))</f>
        <v/>
      </c>
      <c r="M242" s="11" t="str">
        <f aca="false">IF(C242="","",I242-L242)</f>
        <v/>
      </c>
    </row>
    <row r="243" customFormat="false" ht="15" hidden="false" customHeight="false" outlineLevel="0" collapsed="false">
      <c r="A243" s="25"/>
      <c r="B243" s="20"/>
      <c r="C243" s="20"/>
      <c r="D243" s="7" t="str">
        <f aca="false">IF(C243="","",IFERROR(INDEX(Productos!$A$5:$A$104,MATCH(C243,Productos!$B$5:$B$104,0)),""))</f>
        <v/>
      </c>
      <c r="E243" s="7" t="str">
        <f aca="false">IF(C243="","",IFERROR(INDEX(Productos!$C$5:$C$104,MATCH(C243,Productos!$B$5:$B$104,0)),""))</f>
        <v/>
      </c>
      <c r="F243" s="21"/>
      <c r="G243" s="11" t="str">
        <f aca="false">IF(C243="","",IFERROR(INDEX(Productos!$G$5:$G$104,MATCH(C243,Productos!$B$5:$B$104,0)),0))</f>
        <v/>
      </c>
      <c r="H243" s="26"/>
      <c r="I243" s="11" t="str">
        <f aca="false">IF(C243="","",F243*G243*(1-H243))</f>
        <v/>
      </c>
      <c r="J243" s="20"/>
      <c r="K243" s="20"/>
      <c r="L243" s="11" t="str">
        <f aca="false">IF(C243="","",F243*IFERROR(INDEX(Productos!$F$5:$F$104,MATCH(C243,Productos!$B$5:$B$104,0)),0))</f>
        <v/>
      </c>
      <c r="M243" s="11" t="str">
        <f aca="false">IF(C243="","",I243-L243)</f>
        <v/>
      </c>
    </row>
    <row r="244" customFormat="false" ht="15" hidden="false" customHeight="false" outlineLevel="0" collapsed="false">
      <c r="A244" s="25"/>
      <c r="B244" s="20"/>
      <c r="C244" s="20"/>
      <c r="D244" s="7" t="str">
        <f aca="false">IF(C244="","",IFERROR(INDEX(Productos!$A$5:$A$104,MATCH(C244,Productos!$B$5:$B$104,0)),""))</f>
        <v/>
      </c>
      <c r="E244" s="7" t="str">
        <f aca="false">IF(C244="","",IFERROR(INDEX(Productos!$C$5:$C$104,MATCH(C244,Productos!$B$5:$B$104,0)),""))</f>
        <v/>
      </c>
      <c r="F244" s="21"/>
      <c r="G244" s="11" t="str">
        <f aca="false">IF(C244="","",IFERROR(INDEX(Productos!$G$5:$G$104,MATCH(C244,Productos!$B$5:$B$104,0)),0))</f>
        <v/>
      </c>
      <c r="H244" s="26"/>
      <c r="I244" s="11" t="str">
        <f aca="false">IF(C244="","",F244*G244*(1-H244))</f>
        <v/>
      </c>
      <c r="J244" s="20"/>
      <c r="K244" s="20"/>
      <c r="L244" s="11" t="str">
        <f aca="false">IF(C244="","",F244*IFERROR(INDEX(Productos!$F$5:$F$104,MATCH(C244,Productos!$B$5:$B$104,0)),0))</f>
        <v/>
      </c>
      <c r="M244" s="11" t="str">
        <f aca="false">IF(C244="","",I244-L244)</f>
        <v/>
      </c>
    </row>
    <row r="245" customFormat="false" ht="15" hidden="false" customHeight="false" outlineLevel="0" collapsed="false">
      <c r="A245" s="25"/>
      <c r="B245" s="20"/>
      <c r="C245" s="20"/>
      <c r="D245" s="7" t="str">
        <f aca="false">IF(C245="","",IFERROR(INDEX(Productos!$A$5:$A$104,MATCH(C245,Productos!$B$5:$B$104,0)),""))</f>
        <v/>
      </c>
      <c r="E245" s="7" t="str">
        <f aca="false">IF(C245="","",IFERROR(INDEX(Productos!$C$5:$C$104,MATCH(C245,Productos!$B$5:$B$104,0)),""))</f>
        <v/>
      </c>
      <c r="F245" s="21"/>
      <c r="G245" s="11" t="str">
        <f aca="false">IF(C245="","",IFERROR(INDEX(Productos!$G$5:$G$104,MATCH(C245,Productos!$B$5:$B$104,0)),0))</f>
        <v/>
      </c>
      <c r="H245" s="26"/>
      <c r="I245" s="11" t="str">
        <f aca="false">IF(C245="","",F245*G245*(1-H245))</f>
        <v/>
      </c>
      <c r="J245" s="20"/>
      <c r="K245" s="20"/>
      <c r="L245" s="11" t="str">
        <f aca="false">IF(C245="","",F245*IFERROR(INDEX(Productos!$F$5:$F$104,MATCH(C245,Productos!$B$5:$B$104,0)),0))</f>
        <v/>
      </c>
      <c r="M245" s="11" t="str">
        <f aca="false">IF(C245="","",I245-L245)</f>
        <v/>
      </c>
    </row>
    <row r="246" customFormat="false" ht="15" hidden="false" customHeight="false" outlineLevel="0" collapsed="false">
      <c r="A246" s="25"/>
      <c r="B246" s="20"/>
      <c r="C246" s="20"/>
      <c r="D246" s="7" t="str">
        <f aca="false">IF(C246="","",IFERROR(INDEX(Productos!$A$5:$A$104,MATCH(C246,Productos!$B$5:$B$104,0)),""))</f>
        <v/>
      </c>
      <c r="E246" s="7" t="str">
        <f aca="false">IF(C246="","",IFERROR(INDEX(Productos!$C$5:$C$104,MATCH(C246,Productos!$B$5:$B$104,0)),""))</f>
        <v/>
      </c>
      <c r="F246" s="21"/>
      <c r="G246" s="11" t="str">
        <f aca="false">IF(C246="","",IFERROR(INDEX(Productos!$G$5:$G$104,MATCH(C246,Productos!$B$5:$B$104,0)),0))</f>
        <v/>
      </c>
      <c r="H246" s="26"/>
      <c r="I246" s="11" t="str">
        <f aca="false">IF(C246="","",F246*G246*(1-H246))</f>
        <v/>
      </c>
      <c r="J246" s="20"/>
      <c r="K246" s="20"/>
      <c r="L246" s="11" t="str">
        <f aca="false">IF(C246="","",F246*IFERROR(INDEX(Productos!$F$5:$F$104,MATCH(C246,Productos!$B$5:$B$104,0)),0))</f>
        <v/>
      </c>
      <c r="M246" s="11" t="str">
        <f aca="false">IF(C246="","",I246-L246)</f>
        <v/>
      </c>
    </row>
    <row r="247" customFormat="false" ht="15" hidden="false" customHeight="false" outlineLevel="0" collapsed="false">
      <c r="A247" s="25"/>
      <c r="B247" s="20"/>
      <c r="C247" s="20"/>
      <c r="D247" s="7" t="str">
        <f aca="false">IF(C247="","",IFERROR(INDEX(Productos!$A$5:$A$104,MATCH(C247,Productos!$B$5:$B$104,0)),""))</f>
        <v/>
      </c>
      <c r="E247" s="7" t="str">
        <f aca="false">IF(C247="","",IFERROR(INDEX(Productos!$C$5:$C$104,MATCH(C247,Productos!$B$5:$B$104,0)),""))</f>
        <v/>
      </c>
      <c r="F247" s="21"/>
      <c r="G247" s="11" t="str">
        <f aca="false">IF(C247="","",IFERROR(INDEX(Productos!$G$5:$G$104,MATCH(C247,Productos!$B$5:$B$104,0)),0))</f>
        <v/>
      </c>
      <c r="H247" s="26"/>
      <c r="I247" s="11" t="str">
        <f aca="false">IF(C247="","",F247*G247*(1-H247))</f>
        <v/>
      </c>
      <c r="J247" s="20"/>
      <c r="K247" s="20"/>
      <c r="L247" s="11" t="str">
        <f aca="false">IF(C247="","",F247*IFERROR(INDEX(Productos!$F$5:$F$104,MATCH(C247,Productos!$B$5:$B$104,0)),0))</f>
        <v/>
      </c>
      <c r="M247" s="11" t="str">
        <f aca="false">IF(C247="","",I247-L247)</f>
        <v/>
      </c>
    </row>
    <row r="248" customFormat="false" ht="15" hidden="false" customHeight="false" outlineLevel="0" collapsed="false">
      <c r="A248" s="25"/>
      <c r="B248" s="20"/>
      <c r="C248" s="20"/>
      <c r="D248" s="7" t="str">
        <f aca="false">IF(C248="","",IFERROR(INDEX(Productos!$A$5:$A$104,MATCH(C248,Productos!$B$5:$B$104,0)),""))</f>
        <v/>
      </c>
      <c r="E248" s="7" t="str">
        <f aca="false">IF(C248="","",IFERROR(INDEX(Productos!$C$5:$C$104,MATCH(C248,Productos!$B$5:$B$104,0)),""))</f>
        <v/>
      </c>
      <c r="F248" s="21"/>
      <c r="G248" s="11" t="str">
        <f aca="false">IF(C248="","",IFERROR(INDEX(Productos!$G$5:$G$104,MATCH(C248,Productos!$B$5:$B$104,0)),0))</f>
        <v/>
      </c>
      <c r="H248" s="26"/>
      <c r="I248" s="11" t="str">
        <f aca="false">IF(C248="","",F248*G248*(1-H248))</f>
        <v/>
      </c>
      <c r="J248" s="20"/>
      <c r="K248" s="20"/>
      <c r="L248" s="11" t="str">
        <f aca="false">IF(C248="","",F248*IFERROR(INDEX(Productos!$F$5:$F$104,MATCH(C248,Productos!$B$5:$B$104,0)),0))</f>
        <v/>
      </c>
      <c r="M248" s="11" t="str">
        <f aca="false">IF(C248="","",I248-L248)</f>
        <v/>
      </c>
    </row>
    <row r="249" customFormat="false" ht="15" hidden="false" customHeight="false" outlineLevel="0" collapsed="false">
      <c r="A249" s="25"/>
      <c r="B249" s="20"/>
      <c r="C249" s="20"/>
      <c r="D249" s="7" t="str">
        <f aca="false">IF(C249="","",IFERROR(INDEX(Productos!$A$5:$A$104,MATCH(C249,Productos!$B$5:$B$104,0)),""))</f>
        <v/>
      </c>
      <c r="E249" s="7" t="str">
        <f aca="false">IF(C249="","",IFERROR(INDEX(Productos!$C$5:$C$104,MATCH(C249,Productos!$B$5:$B$104,0)),""))</f>
        <v/>
      </c>
      <c r="F249" s="21"/>
      <c r="G249" s="11" t="str">
        <f aca="false">IF(C249="","",IFERROR(INDEX(Productos!$G$5:$G$104,MATCH(C249,Productos!$B$5:$B$104,0)),0))</f>
        <v/>
      </c>
      <c r="H249" s="26"/>
      <c r="I249" s="11" t="str">
        <f aca="false">IF(C249="","",F249*G249*(1-H249))</f>
        <v/>
      </c>
      <c r="J249" s="20"/>
      <c r="K249" s="20"/>
      <c r="L249" s="11" t="str">
        <f aca="false">IF(C249="","",F249*IFERROR(INDEX(Productos!$F$5:$F$104,MATCH(C249,Productos!$B$5:$B$104,0)),0))</f>
        <v/>
      </c>
      <c r="M249" s="11" t="str">
        <f aca="false">IF(C249="","",I249-L249)</f>
        <v/>
      </c>
    </row>
    <row r="250" customFormat="false" ht="15" hidden="false" customHeight="false" outlineLevel="0" collapsed="false">
      <c r="A250" s="25"/>
      <c r="B250" s="20"/>
      <c r="C250" s="20"/>
      <c r="D250" s="7" t="str">
        <f aca="false">IF(C250="","",IFERROR(INDEX(Productos!$A$5:$A$104,MATCH(C250,Productos!$B$5:$B$104,0)),""))</f>
        <v/>
      </c>
      <c r="E250" s="7" t="str">
        <f aca="false">IF(C250="","",IFERROR(INDEX(Productos!$C$5:$C$104,MATCH(C250,Productos!$B$5:$B$104,0)),""))</f>
        <v/>
      </c>
      <c r="F250" s="21"/>
      <c r="G250" s="11" t="str">
        <f aca="false">IF(C250="","",IFERROR(INDEX(Productos!$G$5:$G$104,MATCH(C250,Productos!$B$5:$B$104,0)),0))</f>
        <v/>
      </c>
      <c r="H250" s="26"/>
      <c r="I250" s="11" t="str">
        <f aca="false">IF(C250="","",F250*G250*(1-H250))</f>
        <v/>
      </c>
      <c r="J250" s="20"/>
      <c r="K250" s="20"/>
      <c r="L250" s="11" t="str">
        <f aca="false">IF(C250="","",F250*IFERROR(INDEX(Productos!$F$5:$F$104,MATCH(C250,Productos!$B$5:$B$104,0)),0))</f>
        <v/>
      </c>
      <c r="M250" s="11" t="str">
        <f aca="false">IF(C250="","",I250-L250)</f>
        <v/>
      </c>
    </row>
    <row r="251" customFormat="false" ht="15" hidden="false" customHeight="false" outlineLevel="0" collapsed="false">
      <c r="A251" s="25"/>
      <c r="B251" s="20"/>
      <c r="C251" s="20"/>
      <c r="D251" s="7" t="str">
        <f aca="false">IF(C251="","",IFERROR(INDEX(Productos!$A$5:$A$104,MATCH(C251,Productos!$B$5:$B$104,0)),""))</f>
        <v/>
      </c>
      <c r="E251" s="7" t="str">
        <f aca="false">IF(C251="","",IFERROR(INDEX(Productos!$C$5:$C$104,MATCH(C251,Productos!$B$5:$B$104,0)),""))</f>
        <v/>
      </c>
      <c r="F251" s="21"/>
      <c r="G251" s="11" t="str">
        <f aca="false">IF(C251="","",IFERROR(INDEX(Productos!$G$5:$G$104,MATCH(C251,Productos!$B$5:$B$104,0)),0))</f>
        <v/>
      </c>
      <c r="H251" s="26"/>
      <c r="I251" s="11" t="str">
        <f aca="false">IF(C251="","",F251*G251*(1-H251))</f>
        <v/>
      </c>
      <c r="J251" s="20"/>
      <c r="K251" s="20"/>
      <c r="L251" s="11" t="str">
        <f aca="false">IF(C251="","",F251*IFERROR(INDEX(Productos!$F$5:$F$104,MATCH(C251,Productos!$B$5:$B$104,0)),0))</f>
        <v/>
      </c>
      <c r="M251" s="11" t="str">
        <f aca="false">IF(C251="","",I251-L251)</f>
        <v/>
      </c>
    </row>
    <row r="252" customFormat="false" ht="15" hidden="false" customHeight="false" outlineLevel="0" collapsed="false">
      <c r="A252" s="25"/>
      <c r="B252" s="20"/>
      <c r="C252" s="20"/>
      <c r="D252" s="7" t="str">
        <f aca="false">IF(C252="","",IFERROR(INDEX(Productos!$A$5:$A$104,MATCH(C252,Productos!$B$5:$B$104,0)),""))</f>
        <v/>
      </c>
      <c r="E252" s="7" t="str">
        <f aca="false">IF(C252="","",IFERROR(INDEX(Productos!$C$5:$C$104,MATCH(C252,Productos!$B$5:$B$104,0)),""))</f>
        <v/>
      </c>
      <c r="F252" s="21"/>
      <c r="G252" s="11" t="str">
        <f aca="false">IF(C252="","",IFERROR(INDEX(Productos!$G$5:$G$104,MATCH(C252,Productos!$B$5:$B$104,0)),0))</f>
        <v/>
      </c>
      <c r="H252" s="26"/>
      <c r="I252" s="11" t="str">
        <f aca="false">IF(C252="","",F252*G252*(1-H252))</f>
        <v/>
      </c>
      <c r="J252" s="20"/>
      <c r="K252" s="20"/>
      <c r="L252" s="11" t="str">
        <f aca="false">IF(C252="","",F252*IFERROR(INDEX(Productos!$F$5:$F$104,MATCH(C252,Productos!$B$5:$B$104,0)),0))</f>
        <v/>
      </c>
      <c r="M252" s="11" t="str">
        <f aca="false">IF(C252="","",I252-L252)</f>
        <v/>
      </c>
    </row>
    <row r="253" customFormat="false" ht="15" hidden="false" customHeight="false" outlineLevel="0" collapsed="false">
      <c r="A253" s="25"/>
      <c r="B253" s="20"/>
      <c r="C253" s="20"/>
      <c r="D253" s="7" t="str">
        <f aca="false">IF(C253="","",IFERROR(INDEX(Productos!$A$5:$A$104,MATCH(C253,Productos!$B$5:$B$104,0)),""))</f>
        <v/>
      </c>
      <c r="E253" s="7" t="str">
        <f aca="false">IF(C253="","",IFERROR(INDEX(Productos!$C$5:$C$104,MATCH(C253,Productos!$B$5:$B$104,0)),""))</f>
        <v/>
      </c>
      <c r="F253" s="21"/>
      <c r="G253" s="11" t="str">
        <f aca="false">IF(C253="","",IFERROR(INDEX(Productos!$G$5:$G$104,MATCH(C253,Productos!$B$5:$B$104,0)),0))</f>
        <v/>
      </c>
      <c r="H253" s="26"/>
      <c r="I253" s="11" t="str">
        <f aca="false">IF(C253="","",F253*G253*(1-H253))</f>
        <v/>
      </c>
      <c r="J253" s="20"/>
      <c r="K253" s="20"/>
      <c r="L253" s="11" t="str">
        <f aca="false">IF(C253="","",F253*IFERROR(INDEX(Productos!$F$5:$F$104,MATCH(C253,Productos!$B$5:$B$104,0)),0))</f>
        <v/>
      </c>
      <c r="M253" s="11" t="str">
        <f aca="false">IF(C253="","",I253-L253)</f>
        <v/>
      </c>
    </row>
    <row r="254" customFormat="false" ht="15" hidden="false" customHeight="false" outlineLevel="0" collapsed="false">
      <c r="A254" s="25"/>
      <c r="B254" s="20"/>
      <c r="C254" s="20"/>
      <c r="D254" s="7" t="str">
        <f aca="false">IF(C254="","",IFERROR(INDEX(Productos!$A$5:$A$104,MATCH(C254,Productos!$B$5:$B$104,0)),""))</f>
        <v/>
      </c>
      <c r="E254" s="7" t="str">
        <f aca="false">IF(C254="","",IFERROR(INDEX(Productos!$C$5:$C$104,MATCH(C254,Productos!$B$5:$B$104,0)),""))</f>
        <v/>
      </c>
      <c r="F254" s="21"/>
      <c r="G254" s="11" t="str">
        <f aca="false">IF(C254="","",IFERROR(INDEX(Productos!$G$5:$G$104,MATCH(C254,Productos!$B$5:$B$104,0)),0))</f>
        <v/>
      </c>
      <c r="H254" s="26"/>
      <c r="I254" s="11" t="str">
        <f aca="false">IF(C254="","",F254*G254*(1-H254))</f>
        <v/>
      </c>
      <c r="J254" s="20"/>
      <c r="K254" s="20"/>
      <c r="L254" s="11" t="str">
        <f aca="false">IF(C254="","",F254*IFERROR(INDEX(Productos!$F$5:$F$104,MATCH(C254,Productos!$B$5:$B$104,0)),0))</f>
        <v/>
      </c>
      <c r="M254" s="11" t="str">
        <f aca="false">IF(C254="","",I254-L254)</f>
        <v/>
      </c>
    </row>
    <row r="255" customFormat="false" ht="15" hidden="false" customHeight="false" outlineLevel="0" collapsed="false">
      <c r="A255" s="25"/>
      <c r="B255" s="20"/>
      <c r="C255" s="20"/>
      <c r="D255" s="7" t="str">
        <f aca="false">IF(C255="","",IFERROR(INDEX(Productos!$A$5:$A$104,MATCH(C255,Productos!$B$5:$B$104,0)),""))</f>
        <v/>
      </c>
      <c r="E255" s="7" t="str">
        <f aca="false">IF(C255="","",IFERROR(INDEX(Productos!$C$5:$C$104,MATCH(C255,Productos!$B$5:$B$104,0)),""))</f>
        <v/>
      </c>
      <c r="F255" s="21"/>
      <c r="G255" s="11" t="str">
        <f aca="false">IF(C255="","",IFERROR(INDEX(Productos!$G$5:$G$104,MATCH(C255,Productos!$B$5:$B$104,0)),0))</f>
        <v/>
      </c>
      <c r="H255" s="26"/>
      <c r="I255" s="11" t="str">
        <f aca="false">IF(C255="","",F255*G255*(1-H255))</f>
        <v/>
      </c>
      <c r="J255" s="20"/>
      <c r="K255" s="20"/>
      <c r="L255" s="11" t="str">
        <f aca="false">IF(C255="","",F255*IFERROR(INDEX(Productos!$F$5:$F$104,MATCH(C255,Productos!$B$5:$B$104,0)),0))</f>
        <v/>
      </c>
      <c r="M255" s="11" t="str">
        <f aca="false">IF(C255="","",I255-L255)</f>
        <v/>
      </c>
    </row>
    <row r="256" customFormat="false" ht="15" hidden="false" customHeight="false" outlineLevel="0" collapsed="false">
      <c r="A256" s="25"/>
      <c r="B256" s="20"/>
      <c r="C256" s="20"/>
      <c r="D256" s="7" t="str">
        <f aca="false">IF(C256="","",IFERROR(INDEX(Productos!$A$5:$A$104,MATCH(C256,Productos!$B$5:$B$104,0)),""))</f>
        <v/>
      </c>
      <c r="E256" s="7" t="str">
        <f aca="false">IF(C256="","",IFERROR(INDEX(Productos!$C$5:$C$104,MATCH(C256,Productos!$B$5:$B$104,0)),""))</f>
        <v/>
      </c>
      <c r="F256" s="21"/>
      <c r="G256" s="11" t="str">
        <f aca="false">IF(C256="","",IFERROR(INDEX(Productos!$G$5:$G$104,MATCH(C256,Productos!$B$5:$B$104,0)),0))</f>
        <v/>
      </c>
      <c r="H256" s="26"/>
      <c r="I256" s="11" t="str">
        <f aca="false">IF(C256="","",F256*G256*(1-H256))</f>
        <v/>
      </c>
      <c r="J256" s="20"/>
      <c r="K256" s="20"/>
      <c r="L256" s="11" t="str">
        <f aca="false">IF(C256="","",F256*IFERROR(INDEX(Productos!$F$5:$F$104,MATCH(C256,Productos!$B$5:$B$104,0)),0))</f>
        <v/>
      </c>
      <c r="M256" s="11" t="str">
        <f aca="false">IF(C256="","",I256-L256)</f>
        <v/>
      </c>
    </row>
    <row r="257" customFormat="false" ht="15" hidden="false" customHeight="false" outlineLevel="0" collapsed="false">
      <c r="A257" s="25"/>
      <c r="B257" s="20"/>
      <c r="C257" s="20"/>
      <c r="D257" s="7" t="str">
        <f aca="false">IF(C257="","",IFERROR(INDEX(Productos!$A$5:$A$104,MATCH(C257,Productos!$B$5:$B$104,0)),""))</f>
        <v/>
      </c>
      <c r="E257" s="7" t="str">
        <f aca="false">IF(C257="","",IFERROR(INDEX(Productos!$C$5:$C$104,MATCH(C257,Productos!$B$5:$B$104,0)),""))</f>
        <v/>
      </c>
      <c r="F257" s="21"/>
      <c r="G257" s="11" t="str">
        <f aca="false">IF(C257="","",IFERROR(INDEX(Productos!$G$5:$G$104,MATCH(C257,Productos!$B$5:$B$104,0)),0))</f>
        <v/>
      </c>
      <c r="H257" s="26"/>
      <c r="I257" s="11" t="str">
        <f aca="false">IF(C257="","",F257*G257*(1-H257))</f>
        <v/>
      </c>
      <c r="J257" s="20"/>
      <c r="K257" s="20"/>
      <c r="L257" s="11" t="str">
        <f aca="false">IF(C257="","",F257*IFERROR(INDEX(Productos!$F$5:$F$104,MATCH(C257,Productos!$B$5:$B$104,0)),0))</f>
        <v/>
      </c>
      <c r="M257" s="11" t="str">
        <f aca="false">IF(C257="","",I257-L257)</f>
        <v/>
      </c>
    </row>
    <row r="258" customFormat="false" ht="15" hidden="false" customHeight="false" outlineLevel="0" collapsed="false">
      <c r="A258" s="25"/>
      <c r="B258" s="20"/>
      <c r="C258" s="20"/>
      <c r="D258" s="7" t="str">
        <f aca="false">IF(C258="","",IFERROR(INDEX(Productos!$A$5:$A$104,MATCH(C258,Productos!$B$5:$B$104,0)),""))</f>
        <v/>
      </c>
      <c r="E258" s="7" t="str">
        <f aca="false">IF(C258="","",IFERROR(INDEX(Productos!$C$5:$C$104,MATCH(C258,Productos!$B$5:$B$104,0)),""))</f>
        <v/>
      </c>
      <c r="F258" s="21"/>
      <c r="G258" s="11" t="str">
        <f aca="false">IF(C258="","",IFERROR(INDEX(Productos!$G$5:$G$104,MATCH(C258,Productos!$B$5:$B$104,0)),0))</f>
        <v/>
      </c>
      <c r="H258" s="26"/>
      <c r="I258" s="11" t="str">
        <f aca="false">IF(C258="","",F258*G258*(1-H258))</f>
        <v/>
      </c>
      <c r="J258" s="20"/>
      <c r="K258" s="20"/>
      <c r="L258" s="11" t="str">
        <f aca="false">IF(C258="","",F258*IFERROR(INDEX(Productos!$F$5:$F$104,MATCH(C258,Productos!$B$5:$B$104,0)),0))</f>
        <v/>
      </c>
      <c r="M258" s="11" t="str">
        <f aca="false">IF(C258="","",I258-L258)</f>
        <v/>
      </c>
    </row>
    <row r="259" customFormat="false" ht="15" hidden="false" customHeight="false" outlineLevel="0" collapsed="false">
      <c r="A259" s="25"/>
      <c r="B259" s="20"/>
      <c r="C259" s="20"/>
      <c r="D259" s="7" t="str">
        <f aca="false">IF(C259="","",IFERROR(INDEX(Productos!$A$5:$A$104,MATCH(C259,Productos!$B$5:$B$104,0)),""))</f>
        <v/>
      </c>
      <c r="E259" s="7" t="str">
        <f aca="false">IF(C259="","",IFERROR(INDEX(Productos!$C$5:$C$104,MATCH(C259,Productos!$B$5:$B$104,0)),""))</f>
        <v/>
      </c>
      <c r="F259" s="21"/>
      <c r="G259" s="11" t="str">
        <f aca="false">IF(C259="","",IFERROR(INDEX(Productos!$G$5:$G$104,MATCH(C259,Productos!$B$5:$B$104,0)),0))</f>
        <v/>
      </c>
      <c r="H259" s="26"/>
      <c r="I259" s="11" t="str">
        <f aca="false">IF(C259="","",F259*G259*(1-H259))</f>
        <v/>
      </c>
      <c r="J259" s="20"/>
      <c r="K259" s="20"/>
      <c r="L259" s="11" t="str">
        <f aca="false">IF(C259="","",F259*IFERROR(INDEX(Productos!$F$5:$F$104,MATCH(C259,Productos!$B$5:$B$104,0)),0))</f>
        <v/>
      </c>
      <c r="M259" s="11" t="str">
        <f aca="false">IF(C259="","",I259-L259)</f>
        <v/>
      </c>
    </row>
    <row r="260" customFormat="false" ht="15" hidden="false" customHeight="false" outlineLevel="0" collapsed="false">
      <c r="A260" s="25"/>
      <c r="B260" s="20"/>
      <c r="C260" s="20"/>
      <c r="D260" s="7" t="str">
        <f aca="false">IF(C260="","",IFERROR(INDEX(Productos!$A$5:$A$104,MATCH(C260,Productos!$B$5:$B$104,0)),""))</f>
        <v/>
      </c>
      <c r="E260" s="7" t="str">
        <f aca="false">IF(C260="","",IFERROR(INDEX(Productos!$C$5:$C$104,MATCH(C260,Productos!$B$5:$B$104,0)),""))</f>
        <v/>
      </c>
      <c r="F260" s="21"/>
      <c r="G260" s="11" t="str">
        <f aca="false">IF(C260="","",IFERROR(INDEX(Productos!$G$5:$G$104,MATCH(C260,Productos!$B$5:$B$104,0)),0))</f>
        <v/>
      </c>
      <c r="H260" s="26"/>
      <c r="I260" s="11" t="str">
        <f aca="false">IF(C260="","",F260*G260*(1-H260))</f>
        <v/>
      </c>
      <c r="J260" s="20"/>
      <c r="K260" s="20"/>
      <c r="L260" s="11" t="str">
        <f aca="false">IF(C260="","",F260*IFERROR(INDEX(Productos!$F$5:$F$104,MATCH(C260,Productos!$B$5:$B$104,0)),0))</f>
        <v/>
      </c>
      <c r="M260" s="11" t="str">
        <f aca="false">IF(C260="","",I260-L260)</f>
        <v/>
      </c>
    </row>
    <row r="261" customFormat="false" ht="15" hidden="false" customHeight="false" outlineLevel="0" collapsed="false">
      <c r="A261" s="25"/>
      <c r="B261" s="20"/>
      <c r="C261" s="20"/>
      <c r="D261" s="7" t="str">
        <f aca="false">IF(C261="","",IFERROR(INDEX(Productos!$A$5:$A$104,MATCH(C261,Productos!$B$5:$B$104,0)),""))</f>
        <v/>
      </c>
      <c r="E261" s="7" t="str">
        <f aca="false">IF(C261="","",IFERROR(INDEX(Productos!$C$5:$C$104,MATCH(C261,Productos!$B$5:$B$104,0)),""))</f>
        <v/>
      </c>
      <c r="F261" s="21"/>
      <c r="G261" s="11" t="str">
        <f aca="false">IF(C261="","",IFERROR(INDEX(Productos!$G$5:$G$104,MATCH(C261,Productos!$B$5:$B$104,0)),0))</f>
        <v/>
      </c>
      <c r="H261" s="26"/>
      <c r="I261" s="11" t="str">
        <f aca="false">IF(C261="","",F261*G261*(1-H261))</f>
        <v/>
      </c>
      <c r="J261" s="20"/>
      <c r="K261" s="20"/>
      <c r="L261" s="11" t="str">
        <f aca="false">IF(C261="","",F261*IFERROR(INDEX(Productos!$F$5:$F$104,MATCH(C261,Productos!$B$5:$B$104,0)),0))</f>
        <v/>
      </c>
      <c r="M261" s="11" t="str">
        <f aca="false">IF(C261="","",I261-L261)</f>
        <v/>
      </c>
    </row>
    <row r="262" customFormat="false" ht="15" hidden="false" customHeight="false" outlineLevel="0" collapsed="false">
      <c r="A262" s="25"/>
      <c r="B262" s="20"/>
      <c r="C262" s="20"/>
      <c r="D262" s="7" t="str">
        <f aca="false">IF(C262="","",IFERROR(INDEX(Productos!$A$5:$A$104,MATCH(C262,Productos!$B$5:$B$104,0)),""))</f>
        <v/>
      </c>
      <c r="E262" s="7" t="str">
        <f aca="false">IF(C262="","",IFERROR(INDEX(Productos!$C$5:$C$104,MATCH(C262,Productos!$B$5:$B$104,0)),""))</f>
        <v/>
      </c>
      <c r="F262" s="21"/>
      <c r="G262" s="11" t="str">
        <f aca="false">IF(C262="","",IFERROR(INDEX(Productos!$G$5:$G$104,MATCH(C262,Productos!$B$5:$B$104,0)),0))</f>
        <v/>
      </c>
      <c r="H262" s="26"/>
      <c r="I262" s="11" t="str">
        <f aca="false">IF(C262="","",F262*G262*(1-H262))</f>
        <v/>
      </c>
      <c r="J262" s="20"/>
      <c r="K262" s="20"/>
      <c r="L262" s="11" t="str">
        <f aca="false">IF(C262="","",F262*IFERROR(INDEX(Productos!$F$5:$F$104,MATCH(C262,Productos!$B$5:$B$104,0)),0))</f>
        <v/>
      </c>
      <c r="M262" s="11" t="str">
        <f aca="false">IF(C262="","",I262-L262)</f>
        <v/>
      </c>
    </row>
    <row r="263" customFormat="false" ht="15" hidden="false" customHeight="false" outlineLevel="0" collapsed="false">
      <c r="A263" s="25"/>
      <c r="B263" s="20"/>
      <c r="C263" s="20"/>
      <c r="D263" s="7" t="str">
        <f aca="false">IF(C263="","",IFERROR(INDEX(Productos!$A$5:$A$104,MATCH(C263,Productos!$B$5:$B$104,0)),""))</f>
        <v/>
      </c>
      <c r="E263" s="7" t="str">
        <f aca="false">IF(C263="","",IFERROR(INDEX(Productos!$C$5:$C$104,MATCH(C263,Productos!$B$5:$B$104,0)),""))</f>
        <v/>
      </c>
      <c r="F263" s="21"/>
      <c r="G263" s="11" t="str">
        <f aca="false">IF(C263="","",IFERROR(INDEX(Productos!$G$5:$G$104,MATCH(C263,Productos!$B$5:$B$104,0)),0))</f>
        <v/>
      </c>
      <c r="H263" s="26"/>
      <c r="I263" s="11" t="str">
        <f aca="false">IF(C263="","",F263*G263*(1-H263))</f>
        <v/>
      </c>
      <c r="J263" s="20"/>
      <c r="K263" s="20"/>
      <c r="L263" s="11" t="str">
        <f aca="false">IF(C263="","",F263*IFERROR(INDEX(Productos!$F$5:$F$104,MATCH(C263,Productos!$B$5:$B$104,0)),0))</f>
        <v/>
      </c>
      <c r="M263" s="11" t="str">
        <f aca="false">IF(C263="","",I263-L263)</f>
        <v/>
      </c>
    </row>
    <row r="264" customFormat="false" ht="15" hidden="false" customHeight="false" outlineLevel="0" collapsed="false">
      <c r="A264" s="25"/>
      <c r="B264" s="20"/>
      <c r="C264" s="20"/>
      <c r="D264" s="7" t="str">
        <f aca="false">IF(C264="","",IFERROR(INDEX(Productos!$A$5:$A$104,MATCH(C264,Productos!$B$5:$B$104,0)),""))</f>
        <v/>
      </c>
      <c r="E264" s="7" t="str">
        <f aca="false">IF(C264="","",IFERROR(INDEX(Productos!$C$5:$C$104,MATCH(C264,Productos!$B$5:$B$104,0)),""))</f>
        <v/>
      </c>
      <c r="F264" s="21"/>
      <c r="G264" s="11" t="str">
        <f aca="false">IF(C264="","",IFERROR(INDEX(Productos!$G$5:$G$104,MATCH(C264,Productos!$B$5:$B$104,0)),0))</f>
        <v/>
      </c>
      <c r="H264" s="26"/>
      <c r="I264" s="11" t="str">
        <f aca="false">IF(C264="","",F264*G264*(1-H264))</f>
        <v/>
      </c>
      <c r="J264" s="20"/>
      <c r="K264" s="20"/>
      <c r="L264" s="11" t="str">
        <f aca="false">IF(C264="","",F264*IFERROR(INDEX(Productos!$F$5:$F$104,MATCH(C264,Productos!$B$5:$B$104,0)),0))</f>
        <v/>
      </c>
      <c r="M264" s="11" t="str">
        <f aca="false">IF(C264="","",I264-L264)</f>
        <v/>
      </c>
    </row>
    <row r="265" customFormat="false" ht="15" hidden="false" customHeight="false" outlineLevel="0" collapsed="false">
      <c r="A265" s="25"/>
      <c r="B265" s="20"/>
      <c r="C265" s="20"/>
      <c r="D265" s="7" t="str">
        <f aca="false">IF(C265="","",IFERROR(INDEX(Productos!$A$5:$A$104,MATCH(C265,Productos!$B$5:$B$104,0)),""))</f>
        <v/>
      </c>
      <c r="E265" s="7" t="str">
        <f aca="false">IF(C265="","",IFERROR(INDEX(Productos!$C$5:$C$104,MATCH(C265,Productos!$B$5:$B$104,0)),""))</f>
        <v/>
      </c>
      <c r="F265" s="21"/>
      <c r="G265" s="11" t="str">
        <f aca="false">IF(C265="","",IFERROR(INDEX(Productos!$G$5:$G$104,MATCH(C265,Productos!$B$5:$B$104,0)),0))</f>
        <v/>
      </c>
      <c r="H265" s="26"/>
      <c r="I265" s="11" t="str">
        <f aca="false">IF(C265="","",F265*G265*(1-H265))</f>
        <v/>
      </c>
      <c r="J265" s="20"/>
      <c r="K265" s="20"/>
      <c r="L265" s="11" t="str">
        <f aca="false">IF(C265="","",F265*IFERROR(INDEX(Productos!$F$5:$F$104,MATCH(C265,Productos!$B$5:$B$104,0)),0))</f>
        <v/>
      </c>
      <c r="M265" s="11" t="str">
        <f aca="false">IF(C265="","",I265-L265)</f>
        <v/>
      </c>
    </row>
    <row r="266" customFormat="false" ht="15" hidden="false" customHeight="false" outlineLevel="0" collapsed="false">
      <c r="A266" s="25"/>
      <c r="B266" s="20"/>
      <c r="C266" s="20"/>
      <c r="D266" s="7" t="str">
        <f aca="false">IF(C266="","",IFERROR(INDEX(Productos!$A$5:$A$104,MATCH(C266,Productos!$B$5:$B$104,0)),""))</f>
        <v/>
      </c>
      <c r="E266" s="7" t="str">
        <f aca="false">IF(C266="","",IFERROR(INDEX(Productos!$C$5:$C$104,MATCH(C266,Productos!$B$5:$B$104,0)),""))</f>
        <v/>
      </c>
      <c r="F266" s="21"/>
      <c r="G266" s="11" t="str">
        <f aca="false">IF(C266="","",IFERROR(INDEX(Productos!$G$5:$G$104,MATCH(C266,Productos!$B$5:$B$104,0)),0))</f>
        <v/>
      </c>
      <c r="H266" s="26"/>
      <c r="I266" s="11" t="str">
        <f aca="false">IF(C266="","",F266*G266*(1-H266))</f>
        <v/>
      </c>
      <c r="J266" s="20"/>
      <c r="K266" s="20"/>
      <c r="L266" s="11" t="str">
        <f aca="false">IF(C266="","",F266*IFERROR(INDEX(Productos!$F$5:$F$104,MATCH(C266,Productos!$B$5:$B$104,0)),0))</f>
        <v/>
      </c>
      <c r="M266" s="11" t="str">
        <f aca="false">IF(C266="","",I266-L266)</f>
        <v/>
      </c>
    </row>
    <row r="267" customFormat="false" ht="15" hidden="false" customHeight="false" outlineLevel="0" collapsed="false">
      <c r="A267" s="25"/>
      <c r="B267" s="20"/>
      <c r="C267" s="20"/>
      <c r="D267" s="7" t="str">
        <f aca="false">IF(C267="","",IFERROR(INDEX(Productos!$A$5:$A$104,MATCH(C267,Productos!$B$5:$B$104,0)),""))</f>
        <v/>
      </c>
      <c r="E267" s="7" t="str">
        <f aca="false">IF(C267="","",IFERROR(INDEX(Productos!$C$5:$C$104,MATCH(C267,Productos!$B$5:$B$104,0)),""))</f>
        <v/>
      </c>
      <c r="F267" s="21"/>
      <c r="G267" s="11" t="str">
        <f aca="false">IF(C267="","",IFERROR(INDEX(Productos!$G$5:$G$104,MATCH(C267,Productos!$B$5:$B$104,0)),0))</f>
        <v/>
      </c>
      <c r="H267" s="26"/>
      <c r="I267" s="11" t="str">
        <f aca="false">IF(C267="","",F267*G267*(1-H267))</f>
        <v/>
      </c>
      <c r="J267" s="20"/>
      <c r="K267" s="20"/>
      <c r="L267" s="11" t="str">
        <f aca="false">IF(C267="","",F267*IFERROR(INDEX(Productos!$F$5:$F$104,MATCH(C267,Productos!$B$5:$B$104,0)),0))</f>
        <v/>
      </c>
      <c r="M267" s="11" t="str">
        <f aca="false">IF(C267="","",I267-L267)</f>
        <v/>
      </c>
    </row>
    <row r="268" customFormat="false" ht="15" hidden="false" customHeight="false" outlineLevel="0" collapsed="false">
      <c r="A268" s="25"/>
      <c r="B268" s="20"/>
      <c r="C268" s="20"/>
      <c r="D268" s="7" t="str">
        <f aca="false">IF(C268="","",IFERROR(INDEX(Productos!$A$5:$A$104,MATCH(C268,Productos!$B$5:$B$104,0)),""))</f>
        <v/>
      </c>
      <c r="E268" s="7" t="str">
        <f aca="false">IF(C268="","",IFERROR(INDEX(Productos!$C$5:$C$104,MATCH(C268,Productos!$B$5:$B$104,0)),""))</f>
        <v/>
      </c>
      <c r="F268" s="21"/>
      <c r="G268" s="11" t="str">
        <f aca="false">IF(C268="","",IFERROR(INDEX(Productos!$G$5:$G$104,MATCH(C268,Productos!$B$5:$B$104,0)),0))</f>
        <v/>
      </c>
      <c r="H268" s="26"/>
      <c r="I268" s="11" t="str">
        <f aca="false">IF(C268="","",F268*G268*(1-H268))</f>
        <v/>
      </c>
      <c r="J268" s="20"/>
      <c r="K268" s="20"/>
      <c r="L268" s="11" t="str">
        <f aca="false">IF(C268="","",F268*IFERROR(INDEX(Productos!$F$5:$F$104,MATCH(C268,Productos!$B$5:$B$104,0)),0))</f>
        <v/>
      </c>
      <c r="M268" s="11" t="str">
        <f aca="false">IF(C268="","",I268-L268)</f>
        <v/>
      </c>
    </row>
    <row r="269" customFormat="false" ht="15" hidden="false" customHeight="false" outlineLevel="0" collapsed="false">
      <c r="A269" s="25"/>
      <c r="B269" s="20"/>
      <c r="C269" s="20"/>
      <c r="D269" s="7" t="str">
        <f aca="false">IF(C269="","",IFERROR(INDEX(Productos!$A$5:$A$104,MATCH(C269,Productos!$B$5:$B$104,0)),""))</f>
        <v/>
      </c>
      <c r="E269" s="7" t="str">
        <f aca="false">IF(C269="","",IFERROR(INDEX(Productos!$C$5:$C$104,MATCH(C269,Productos!$B$5:$B$104,0)),""))</f>
        <v/>
      </c>
      <c r="F269" s="21"/>
      <c r="G269" s="11" t="str">
        <f aca="false">IF(C269="","",IFERROR(INDEX(Productos!$G$5:$G$104,MATCH(C269,Productos!$B$5:$B$104,0)),0))</f>
        <v/>
      </c>
      <c r="H269" s="26"/>
      <c r="I269" s="11" t="str">
        <f aca="false">IF(C269="","",F269*G269*(1-H269))</f>
        <v/>
      </c>
      <c r="J269" s="20"/>
      <c r="K269" s="20"/>
      <c r="L269" s="11" t="str">
        <f aca="false">IF(C269="","",F269*IFERROR(INDEX(Productos!$F$5:$F$104,MATCH(C269,Productos!$B$5:$B$104,0)),0))</f>
        <v/>
      </c>
      <c r="M269" s="11" t="str">
        <f aca="false">IF(C269="","",I269-L269)</f>
        <v/>
      </c>
    </row>
    <row r="270" customFormat="false" ht="15" hidden="false" customHeight="false" outlineLevel="0" collapsed="false">
      <c r="A270" s="25"/>
      <c r="B270" s="20"/>
      <c r="C270" s="20"/>
      <c r="D270" s="7" t="str">
        <f aca="false">IF(C270="","",IFERROR(INDEX(Productos!$A$5:$A$104,MATCH(C270,Productos!$B$5:$B$104,0)),""))</f>
        <v/>
      </c>
      <c r="E270" s="7" t="str">
        <f aca="false">IF(C270="","",IFERROR(INDEX(Productos!$C$5:$C$104,MATCH(C270,Productos!$B$5:$B$104,0)),""))</f>
        <v/>
      </c>
      <c r="F270" s="21"/>
      <c r="G270" s="11" t="str">
        <f aca="false">IF(C270="","",IFERROR(INDEX(Productos!$G$5:$G$104,MATCH(C270,Productos!$B$5:$B$104,0)),0))</f>
        <v/>
      </c>
      <c r="H270" s="26"/>
      <c r="I270" s="11" t="str">
        <f aca="false">IF(C270="","",F270*G270*(1-H270))</f>
        <v/>
      </c>
      <c r="J270" s="20"/>
      <c r="K270" s="20"/>
      <c r="L270" s="11" t="str">
        <f aca="false">IF(C270="","",F270*IFERROR(INDEX(Productos!$F$5:$F$104,MATCH(C270,Productos!$B$5:$B$104,0)),0))</f>
        <v/>
      </c>
      <c r="M270" s="11" t="str">
        <f aca="false">IF(C270="","",I270-L270)</f>
        <v/>
      </c>
    </row>
    <row r="271" customFormat="false" ht="15" hidden="false" customHeight="false" outlineLevel="0" collapsed="false">
      <c r="A271" s="25"/>
      <c r="B271" s="20"/>
      <c r="C271" s="20"/>
      <c r="D271" s="7" t="str">
        <f aca="false">IF(C271="","",IFERROR(INDEX(Productos!$A$5:$A$104,MATCH(C271,Productos!$B$5:$B$104,0)),""))</f>
        <v/>
      </c>
      <c r="E271" s="7" t="str">
        <f aca="false">IF(C271="","",IFERROR(INDEX(Productos!$C$5:$C$104,MATCH(C271,Productos!$B$5:$B$104,0)),""))</f>
        <v/>
      </c>
      <c r="F271" s="21"/>
      <c r="G271" s="11" t="str">
        <f aca="false">IF(C271="","",IFERROR(INDEX(Productos!$G$5:$G$104,MATCH(C271,Productos!$B$5:$B$104,0)),0))</f>
        <v/>
      </c>
      <c r="H271" s="26"/>
      <c r="I271" s="11" t="str">
        <f aca="false">IF(C271="","",F271*G271*(1-H271))</f>
        <v/>
      </c>
      <c r="J271" s="20"/>
      <c r="K271" s="20"/>
      <c r="L271" s="11" t="str">
        <f aca="false">IF(C271="","",F271*IFERROR(INDEX(Productos!$F$5:$F$104,MATCH(C271,Productos!$B$5:$B$104,0)),0))</f>
        <v/>
      </c>
      <c r="M271" s="11" t="str">
        <f aca="false">IF(C271="","",I271-L271)</f>
        <v/>
      </c>
    </row>
    <row r="272" customFormat="false" ht="15" hidden="false" customHeight="false" outlineLevel="0" collapsed="false">
      <c r="A272" s="25"/>
      <c r="B272" s="20"/>
      <c r="C272" s="20"/>
      <c r="D272" s="7" t="str">
        <f aca="false">IF(C272="","",IFERROR(INDEX(Productos!$A$5:$A$104,MATCH(C272,Productos!$B$5:$B$104,0)),""))</f>
        <v/>
      </c>
      <c r="E272" s="7" t="str">
        <f aca="false">IF(C272="","",IFERROR(INDEX(Productos!$C$5:$C$104,MATCH(C272,Productos!$B$5:$B$104,0)),""))</f>
        <v/>
      </c>
      <c r="F272" s="21"/>
      <c r="G272" s="11" t="str">
        <f aca="false">IF(C272="","",IFERROR(INDEX(Productos!$G$5:$G$104,MATCH(C272,Productos!$B$5:$B$104,0)),0))</f>
        <v/>
      </c>
      <c r="H272" s="26"/>
      <c r="I272" s="11" t="str">
        <f aca="false">IF(C272="","",F272*G272*(1-H272))</f>
        <v/>
      </c>
      <c r="J272" s="20"/>
      <c r="K272" s="20"/>
      <c r="L272" s="11" t="str">
        <f aca="false">IF(C272="","",F272*IFERROR(INDEX(Productos!$F$5:$F$104,MATCH(C272,Productos!$B$5:$B$104,0)),0))</f>
        <v/>
      </c>
      <c r="M272" s="11" t="str">
        <f aca="false">IF(C272="","",I272-L272)</f>
        <v/>
      </c>
    </row>
    <row r="273" customFormat="false" ht="15" hidden="false" customHeight="false" outlineLevel="0" collapsed="false">
      <c r="A273" s="25"/>
      <c r="B273" s="20"/>
      <c r="C273" s="20"/>
      <c r="D273" s="7" t="str">
        <f aca="false">IF(C273="","",IFERROR(INDEX(Productos!$A$5:$A$104,MATCH(C273,Productos!$B$5:$B$104,0)),""))</f>
        <v/>
      </c>
      <c r="E273" s="7" t="str">
        <f aca="false">IF(C273="","",IFERROR(INDEX(Productos!$C$5:$C$104,MATCH(C273,Productos!$B$5:$B$104,0)),""))</f>
        <v/>
      </c>
      <c r="F273" s="21"/>
      <c r="G273" s="11" t="str">
        <f aca="false">IF(C273="","",IFERROR(INDEX(Productos!$G$5:$G$104,MATCH(C273,Productos!$B$5:$B$104,0)),0))</f>
        <v/>
      </c>
      <c r="H273" s="26"/>
      <c r="I273" s="11" t="str">
        <f aca="false">IF(C273="","",F273*G273*(1-H273))</f>
        <v/>
      </c>
      <c r="J273" s="20"/>
      <c r="K273" s="20"/>
      <c r="L273" s="11" t="str">
        <f aca="false">IF(C273="","",F273*IFERROR(INDEX(Productos!$F$5:$F$104,MATCH(C273,Productos!$B$5:$B$104,0)),0))</f>
        <v/>
      </c>
      <c r="M273" s="11" t="str">
        <f aca="false">IF(C273="","",I273-L273)</f>
        <v/>
      </c>
    </row>
    <row r="274" customFormat="false" ht="15" hidden="false" customHeight="false" outlineLevel="0" collapsed="false">
      <c r="A274" s="25"/>
      <c r="B274" s="20"/>
      <c r="C274" s="20"/>
      <c r="D274" s="7" t="str">
        <f aca="false">IF(C274="","",IFERROR(INDEX(Productos!$A$5:$A$104,MATCH(C274,Productos!$B$5:$B$104,0)),""))</f>
        <v/>
      </c>
      <c r="E274" s="7" t="str">
        <f aca="false">IF(C274="","",IFERROR(INDEX(Productos!$C$5:$C$104,MATCH(C274,Productos!$B$5:$B$104,0)),""))</f>
        <v/>
      </c>
      <c r="F274" s="21"/>
      <c r="G274" s="11" t="str">
        <f aca="false">IF(C274="","",IFERROR(INDEX(Productos!$G$5:$G$104,MATCH(C274,Productos!$B$5:$B$104,0)),0))</f>
        <v/>
      </c>
      <c r="H274" s="26"/>
      <c r="I274" s="11" t="str">
        <f aca="false">IF(C274="","",F274*G274*(1-H274))</f>
        <v/>
      </c>
      <c r="J274" s="20"/>
      <c r="K274" s="20"/>
      <c r="L274" s="11" t="str">
        <f aca="false">IF(C274="","",F274*IFERROR(INDEX(Productos!$F$5:$F$104,MATCH(C274,Productos!$B$5:$B$104,0)),0))</f>
        <v/>
      </c>
      <c r="M274" s="11" t="str">
        <f aca="false">IF(C274="","",I274-L274)</f>
        <v/>
      </c>
    </row>
    <row r="275" customFormat="false" ht="15" hidden="false" customHeight="false" outlineLevel="0" collapsed="false">
      <c r="A275" s="25"/>
      <c r="B275" s="20"/>
      <c r="C275" s="20"/>
      <c r="D275" s="7" t="str">
        <f aca="false">IF(C275="","",IFERROR(INDEX(Productos!$A$5:$A$104,MATCH(C275,Productos!$B$5:$B$104,0)),""))</f>
        <v/>
      </c>
      <c r="E275" s="7" t="str">
        <f aca="false">IF(C275="","",IFERROR(INDEX(Productos!$C$5:$C$104,MATCH(C275,Productos!$B$5:$B$104,0)),""))</f>
        <v/>
      </c>
      <c r="F275" s="21"/>
      <c r="G275" s="11" t="str">
        <f aca="false">IF(C275="","",IFERROR(INDEX(Productos!$G$5:$G$104,MATCH(C275,Productos!$B$5:$B$104,0)),0))</f>
        <v/>
      </c>
      <c r="H275" s="26"/>
      <c r="I275" s="11" t="str">
        <f aca="false">IF(C275="","",F275*G275*(1-H275))</f>
        <v/>
      </c>
      <c r="J275" s="20"/>
      <c r="K275" s="20"/>
      <c r="L275" s="11" t="str">
        <f aca="false">IF(C275="","",F275*IFERROR(INDEX(Productos!$F$5:$F$104,MATCH(C275,Productos!$B$5:$B$104,0)),0))</f>
        <v/>
      </c>
      <c r="M275" s="11" t="str">
        <f aca="false">IF(C275="","",I275-L275)</f>
        <v/>
      </c>
    </row>
    <row r="276" customFormat="false" ht="15" hidden="false" customHeight="false" outlineLevel="0" collapsed="false">
      <c r="A276" s="25"/>
      <c r="B276" s="20"/>
      <c r="C276" s="20"/>
      <c r="D276" s="7" t="str">
        <f aca="false">IF(C276="","",IFERROR(INDEX(Productos!$A$5:$A$104,MATCH(C276,Productos!$B$5:$B$104,0)),""))</f>
        <v/>
      </c>
      <c r="E276" s="7" t="str">
        <f aca="false">IF(C276="","",IFERROR(INDEX(Productos!$C$5:$C$104,MATCH(C276,Productos!$B$5:$B$104,0)),""))</f>
        <v/>
      </c>
      <c r="F276" s="21"/>
      <c r="G276" s="11" t="str">
        <f aca="false">IF(C276="","",IFERROR(INDEX(Productos!$G$5:$G$104,MATCH(C276,Productos!$B$5:$B$104,0)),0))</f>
        <v/>
      </c>
      <c r="H276" s="26"/>
      <c r="I276" s="11" t="str">
        <f aca="false">IF(C276="","",F276*G276*(1-H276))</f>
        <v/>
      </c>
      <c r="J276" s="20"/>
      <c r="K276" s="20"/>
      <c r="L276" s="11" t="str">
        <f aca="false">IF(C276="","",F276*IFERROR(INDEX(Productos!$F$5:$F$104,MATCH(C276,Productos!$B$5:$B$104,0)),0))</f>
        <v/>
      </c>
      <c r="M276" s="11" t="str">
        <f aca="false">IF(C276="","",I276-L276)</f>
        <v/>
      </c>
    </row>
    <row r="277" customFormat="false" ht="15" hidden="false" customHeight="false" outlineLevel="0" collapsed="false">
      <c r="A277" s="25"/>
      <c r="B277" s="20"/>
      <c r="C277" s="20"/>
      <c r="D277" s="7" t="str">
        <f aca="false">IF(C277="","",IFERROR(INDEX(Productos!$A$5:$A$104,MATCH(C277,Productos!$B$5:$B$104,0)),""))</f>
        <v/>
      </c>
      <c r="E277" s="7" t="str">
        <f aca="false">IF(C277="","",IFERROR(INDEX(Productos!$C$5:$C$104,MATCH(C277,Productos!$B$5:$B$104,0)),""))</f>
        <v/>
      </c>
      <c r="F277" s="21"/>
      <c r="G277" s="11" t="str">
        <f aca="false">IF(C277="","",IFERROR(INDEX(Productos!$G$5:$G$104,MATCH(C277,Productos!$B$5:$B$104,0)),0))</f>
        <v/>
      </c>
      <c r="H277" s="26"/>
      <c r="I277" s="11" t="str">
        <f aca="false">IF(C277="","",F277*G277*(1-H277))</f>
        <v/>
      </c>
      <c r="J277" s="20"/>
      <c r="K277" s="20"/>
      <c r="L277" s="11" t="str">
        <f aca="false">IF(C277="","",F277*IFERROR(INDEX(Productos!$F$5:$F$104,MATCH(C277,Productos!$B$5:$B$104,0)),0))</f>
        <v/>
      </c>
      <c r="M277" s="11" t="str">
        <f aca="false">IF(C277="","",I277-L277)</f>
        <v/>
      </c>
    </row>
    <row r="278" customFormat="false" ht="15" hidden="false" customHeight="false" outlineLevel="0" collapsed="false">
      <c r="A278" s="25"/>
      <c r="B278" s="20"/>
      <c r="C278" s="20"/>
      <c r="D278" s="7" t="str">
        <f aca="false">IF(C278="","",IFERROR(INDEX(Productos!$A$5:$A$104,MATCH(C278,Productos!$B$5:$B$104,0)),""))</f>
        <v/>
      </c>
      <c r="E278" s="7" t="str">
        <f aca="false">IF(C278="","",IFERROR(INDEX(Productos!$C$5:$C$104,MATCH(C278,Productos!$B$5:$B$104,0)),""))</f>
        <v/>
      </c>
      <c r="F278" s="21"/>
      <c r="G278" s="11" t="str">
        <f aca="false">IF(C278="","",IFERROR(INDEX(Productos!$G$5:$G$104,MATCH(C278,Productos!$B$5:$B$104,0)),0))</f>
        <v/>
      </c>
      <c r="H278" s="26"/>
      <c r="I278" s="11" t="str">
        <f aca="false">IF(C278="","",F278*G278*(1-H278))</f>
        <v/>
      </c>
      <c r="J278" s="20"/>
      <c r="K278" s="20"/>
      <c r="L278" s="11" t="str">
        <f aca="false">IF(C278="","",F278*IFERROR(INDEX(Productos!$F$5:$F$104,MATCH(C278,Productos!$B$5:$B$104,0)),0))</f>
        <v/>
      </c>
      <c r="M278" s="11" t="str">
        <f aca="false">IF(C278="","",I278-L278)</f>
        <v/>
      </c>
    </row>
    <row r="279" customFormat="false" ht="15" hidden="false" customHeight="false" outlineLevel="0" collapsed="false">
      <c r="A279" s="25"/>
      <c r="B279" s="20"/>
      <c r="C279" s="20"/>
      <c r="D279" s="7" t="str">
        <f aca="false">IF(C279="","",IFERROR(INDEX(Productos!$A$5:$A$104,MATCH(C279,Productos!$B$5:$B$104,0)),""))</f>
        <v/>
      </c>
      <c r="E279" s="7" t="str">
        <f aca="false">IF(C279="","",IFERROR(INDEX(Productos!$C$5:$C$104,MATCH(C279,Productos!$B$5:$B$104,0)),""))</f>
        <v/>
      </c>
      <c r="F279" s="21"/>
      <c r="G279" s="11" t="str">
        <f aca="false">IF(C279="","",IFERROR(INDEX(Productos!$G$5:$G$104,MATCH(C279,Productos!$B$5:$B$104,0)),0))</f>
        <v/>
      </c>
      <c r="H279" s="26"/>
      <c r="I279" s="11" t="str">
        <f aca="false">IF(C279="","",F279*G279*(1-H279))</f>
        <v/>
      </c>
      <c r="J279" s="20"/>
      <c r="K279" s="20"/>
      <c r="L279" s="11" t="str">
        <f aca="false">IF(C279="","",F279*IFERROR(INDEX(Productos!$F$5:$F$104,MATCH(C279,Productos!$B$5:$B$104,0)),0))</f>
        <v/>
      </c>
      <c r="M279" s="11" t="str">
        <f aca="false">IF(C279="","",I279-L279)</f>
        <v/>
      </c>
    </row>
    <row r="280" customFormat="false" ht="15" hidden="false" customHeight="false" outlineLevel="0" collapsed="false">
      <c r="A280" s="25"/>
      <c r="B280" s="20"/>
      <c r="C280" s="20"/>
      <c r="D280" s="7" t="str">
        <f aca="false">IF(C280="","",IFERROR(INDEX(Productos!$A$5:$A$104,MATCH(C280,Productos!$B$5:$B$104,0)),""))</f>
        <v/>
      </c>
      <c r="E280" s="7" t="str">
        <f aca="false">IF(C280="","",IFERROR(INDEX(Productos!$C$5:$C$104,MATCH(C280,Productos!$B$5:$B$104,0)),""))</f>
        <v/>
      </c>
      <c r="F280" s="21"/>
      <c r="G280" s="11" t="str">
        <f aca="false">IF(C280="","",IFERROR(INDEX(Productos!$G$5:$G$104,MATCH(C280,Productos!$B$5:$B$104,0)),0))</f>
        <v/>
      </c>
      <c r="H280" s="26"/>
      <c r="I280" s="11" t="str">
        <f aca="false">IF(C280="","",F280*G280*(1-H280))</f>
        <v/>
      </c>
      <c r="J280" s="20"/>
      <c r="K280" s="20"/>
      <c r="L280" s="11" t="str">
        <f aca="false">IF(C280="","",F280*IFERROR(INDEX(Productos!$F$5:$F$104,MATCH(C280,Productos!$B$5:$B$104,0)),0))</f>
        <v/>
      </c>
      <c r="M280" s="11" t="str">
        <f aca="false">IF(C280="","",I280-L280)</f>
        <v/>
      </c>
    </row>
    <row r="281" customFormat="false" ht="15" hidden="false" customHeight="false" outlineLevel="0" collapsed="false">
      <c r="A281" s="25"/>
      <c r="B281" s="20"/>
      <c r="C281" s="20"/>
      <c r="D281" s="7" t="str">
        <f aca="false">IF(C281="","",IFERROR(INDEX(Productos!$A$5:$A$104,MATCH(C281,Productos!$B$5:$B$104,0)),""))</f>
        <v/>
      </c>
      <c r="E281" s="7" t="str">
        <f aca="false">IF(C281="","",IFERROR(INDEX(Productos!$C$5:$C$104,MATCH(C281,Productos!$B$5:$B$104,0)),""))</f>
        <v/>
      </c>
      <c r="F281" s="21"/>
      <c r="G281" s="11" t="str">
        <f aca="false">IF(C281="","",IFERROR(INDEX(Productos!$G$5:$G$104,MATCH(C281,Productos!$B$5:$B$104,0)),0))</f>
        <v/>
      </c>
      <c r="H281" s="26"/>
      <c r="I281" s="11" t="str">
        <f aca="false">IF(C281="","",F281*G281*(1-H281))</f>
        <v/>
      </c>
      <c r="J281" s="20"/>
      <c r="K281" s="20"/>
      <c r="L281" s="11" t="str">
        <f aca="false">IF(C281="","",F281*IFERROR(INDEX(Productos!$F$5:$F$104,MATCH(C281,Productos!$B$5:$B$104,0)),0))</f>
        <v/>
      </c>
      <c r="M281" s="11" t="str">
        <f aca="false">IF(C281="","",I281-L281)</f>
        <v/>
      </c>
    </row>
    <row r="282" customFormat="false" ht="15" hidden="false" customHeight="false" outlineLevel="0" collapsed="false">
      <c r="A282" s="25"/>
      <c r="B282" s="20"/>
      <c r="C282" s="20"/>
      <c r="D282" s="7" t="str">
        <f aca="false">IF(C282="","",IFERROR(INDEX(Productos!$A$5:$A$104,MATCH(C282,Productos!$B$5:$B$104,0)),""))</f>
        <v/>
      </c>
      <c r="E282" s="7" t="str">
        <f aca="false">IF(C282="","",IFERROR(INDEX(Productos!$C$5:$C$104,MATCH(C282,Productos!$B$5:$B$104,0)),""))</f>
        <v/>
      </c>
      <c r="F282" s="21"/>
      <c r="G282" s="11" t="str">
        <f aca="false">IF(C282="","",IFERROR(INDEX(Productos!$G$5:$G$104,MATCH(C282,Productos!$B$5:$B$104,0)),0))</f>
        <v/>
      </c>
      <c r="H282" s="26"/>
      <c r="I282" s="11" t="str">
        <f aca="false">IF(C282="","",F282*G282*(1-H282))</f>
        <v/>
      </c>
      <c r="J282" s="20"/>
      <c r="K282" s="20"/>
      <c r="L282" s="11" t="str">
        <f aca="false">IF(C282="","",F282*IFERROR(INDEX(Productos!$F$5:$F$104,MATCH(C282,Productos!$B$5:$B$104,0)),0))</f>
        <v/>
      </c>
      <c r="M282" s="11" t="str">
        <f aca="false">IF(C282="","",I282-L282)</f>
        <v/>
      </c>
    </row>
    <row r="283" customFormat="false" ht="15" hidden="false" customHeight="false" outlineLevel="0" collapsed="false">
      <c r="A283" s="25"/>
      <c r="B283" s="20"/>
      <c r="C283" s="20"/>
      <c r="D283" s="7" t="str">
        <f aca="false">IF(C283="","",IFERROR(INDEX(Productos!$A$5:$A$104,MATCH(C283,Productos!$B$5:$B$104,0)),""))</f>
        <v/>
      </c>
      <c r="E283" s="7" t="str">
        <f aca="false">IF(C283="","",IFERROR(INDEX(Productos!$C$5:$C$104,MATCH(C283,Productos!$B$5:$B$104,0)),""))</f>
        <v/>
      </c>
      <c r="F283" s="21"/>
      <c r="G283" s="11" t="str">
        <f aca="false">IF(C283="","",IFERROR(INDEX(Productos!$G$5:$G$104,MATCH(C283,Productos!$B$5:$B$104,0)),0))</f>
        <v/>
      </c>
      <c r="H283" s="26"/>
      <c r="I283" s="11" t="str">
        <f aca="false">IF(C283="","",F283*G283*(1-H283))</f>
        <v/>
      </c>
      <c r="J283" s="20"/>
      <c r="K283" s="20"/>
      <c r="L283" s="11" t="str">
        <f aca="false">IF(C283="","",F283*IFERROR(INDEX(Productos!$F$5:$F$104,MATCH(C283,Productos!$B$5:$B$104,0)),0))</f>
        <v/>
      </c>
      <c r="M283" s="11" t="str">
        <f aca="false">IF(C283="","",I283-L283)</f>
        <v/>
      </c>
    </row>
    <row r="284" customFormat="false" ht="15" hidden="false" customHeight="false" outlineLevel="0" collapsed="false">
      <c r="A284" s="25"/>
      <c r="B284" s="20"/>
      <c r="C284" s="20"/>
      <c r="D284" s="7" t="str">
        <f aca="false">IF(C284="","",IFERROR(INDEX(Productos!$A$5:$A$104,MATCH(C284,Productos!$B$5:$B$104,0)),""))</f>
        <v/>
      </c>
      <c r="E284" s="7" t="str">
        <f aca="false">IF(C284="","",IFERROR(INDEX(Productos!$C$5:$C$104,MATCH(C284,Productos!$B$5:$B$104,0)),""))</f>
        <v/>
      </c>
      <c r="F284" s="21"/>
      <c r="G284" s="11" t="str">
        <f aca="false">IF(C284="","",IFERROR(INDEX(Productos!$G$5:$G$104,MATCH(C284,Productos!$B$5:$B$104,0)),0))</f>
        <v/>
      </c>
      <c r="H284" s="26"/>
      <c r="I284" s="11" t="str">
        <f aca="false">IF(C284="","",F284*G284*(1-H284))</f>
        <v/>
      </c>
      <c r="J284" s="20"/>
      <c r="K284" s="20"/>
      <c r="L284" s="11" t="str">
        <f aca="false">IF(C284="","",F284*IFERROR(INDEX(Productos!$F$5:$F$104,MATCH(C284,Productos!$B$5:$B$104,0)),0))</f>
        <v/>
      </c>
      <c r="M284" s="11" t="str">
        <f aca="false">IF(C284="","",I284-L284)</f>
        <v/>
      </c>
    </row>
    <row r="285" customFormat="false" ht="15" hidden="false" customHeight="false" outlineLevel="0" collapsed="false">
      <c r="A285" s="25"/>
      <c r="B285" s="20"/>
      <c r="C285" s="20"/>
      <c r="D285" s="7" t="str">
        <f aca="false">IF(C285="","",IFERROR(INDEX(Productos!$A$5:$A$104,MATCH(C285,Productos!$B$5:$B$104,0)),""))</f>
        <v/>
      </c>
      <c r="E285" s="7" t="str">
        <f aca="false">IF(C285="","",IFERROR(INDEX(Productos!$C$5:$C$104,MATCH(C285,Productos!$B$5:$B$104,0)),""))</f>
        <v/>
      </c>
      <c r="F285" s="21"/>
      <c r="G285" s="11" t="str">
        <f aca="false">IF(C285="","",IFERROR(INDEX(Productos!$G$5:$G$104,MATCH(C285,Productos!$B$5:$B$104,0)),0))</f>
        <v/>
      </c>
      <c r="H285" s="26"/>
      <c r="I285" s="11" t="str">
        <f aca="false">IF(C285="","",F285*G285*(1-H285))</f>
        <v/>
      </c>
      <c r="J285" s="20"/>
      <c r="K285" s="20"/>
      <c r="L285" s="11" t="str">
        <f aca="false">IF(C285="","",F285*IFERROR(INDEX(Productos!$F$5:$F$104,MATCH(C285,Productos!$B$5:$B$104,0)),0))</f>
        <v/>
      </c>
      <c r="M285" s="11" t="str">
        <f aca="false">IF(C285="","",I285-L285)</f>
        <v/>
      </c>
    </row>
    <row r="286" customFormat="false" ht="15" hidden="false" customHeight="false" outlineLevel="0" collapsed="false">
      <c r="A286" s="25"/>
      <c r="B286" s="20"/>
      <c r="C286" s="20"/>
      <c r="D286" s="7" t="str">
        <f aca="false">IF(C286="","",IFERROR(INDEX(Productos!$A$5:$A$104,MATCH(C286,Productos!$B$5:$B$104,0)),""))</f>
        <v/>
      </c>
      <c r="E286" s="7" t="str">
        <f aca="false">IF(C286="","",IFERROR(INDEX(Productos!$C$5:$C$104,MATCH(C286,Productos!$B$5:$B$104,0)),""))</f>
        <v/>
      </c>
      <c r="F286" s="21"/>
      <c r="G286" s="11" t="str">
        <f aca="false">IF(C286="","",IFERROR(INDEX(Productos!$G$5:$G$104,MATCH(C286,Productos!$B$5:$B$104,0)),0))</f>
        <v/>
      </c>
      <c r="H286" s="26"/>
      <c r="I286" s="11" t="str">
        <f aca="false">IF(C286="","",F286*G286*(1-H286))</f>
        <v/>
      </c>
      <c r="J286" s="20"/>
      <c r="K286" s="20"/>
      <c r="L286" s="11" t="str">
        <f aca="false">IF(C286="","",F286*IFERROR(INDEX(Productos!$F$5:$F$104,MATCH(C286,Productos!$B$5:$B$104,0)),0))</f>
        <v/>
      </c>
      <c r="M286" s="11" t="str">
        <f aca="false">IF(C286="","",I286-L286)</f>
        <v/>
      </c>
    </row>
    <row r="287" customFormat="false" ht="15" hidden="false" customHeight="false" outlineLevel="0" collapsed="false">
      <c r="A287" s="25"/>
      <c r="B287" s="20"/>
      <c r="C287" s="20"/>
      <c r="D287" s="7" t="str">
        <f aca="false">IF(C287="","",IFERROR(INDEX(Productos!$A$5:$A$104,MATCH(C287,Productos!$B$5:$B$104,0)),""))</f>
        <v/>
      </c>
      <c r="E287" s="7" t="str">
        <f aca="false">IF(C287="","",IFERROR(INDEX(Productos!$C$5:$C$104,MATCH(C287,Productos!$B$5:$B$104,0)),""))</f>
        <v/>
      </c>
      <c r="F287" s="21"/>
      <c r="G287" s="11" t="str">
        <f aca="false">IF(C287="","",IFERROR(INDEX(Productos!$G$5:$G$104,MATCH(C287,Productos!$B$5:$B$104,0)),0))</f>
        <v/>
      </c>
      <c r="H287" s="26"/>
      <c r="I287" s="11" t="str">
        <f aca="false">IF(C287="","",F287*G287*(1-H287))</f>
        <v/>
      </c>
      <c r="J287" s="20"/>
      <c r="K287" s="20"/>
      <c r="L287" s="11" t="str">
        <f aca="false">IF(C287="","",F287*IFERROR(INDEX(Productos!$F$5:$F$104,MATCH(C287,Productos!$B$5:$B$104,0)),0))</f>
        <v/>
      </c>
      <c r="M287" s="11" t="str">
        <f aca="false">IF(C287="","",I287-L287)</f>
        <v/>
      </c>
    </row>
    <row r="288" customFormat="false" ht="15" hidden="false" customHeight="false" outlineLevel="0" collapsed="false">
      <c r="A288" s="25"/>
      <c r="B288" s="20"/>
      <c r="C288" s="20"/>
      <c r="D288" s="7" t="str">
        <f aca="false">IF(C288="","",IFERROR(INDEX(Productos!$A$5:$A$104,MATCH(C288,Productos!$B$5:$B$104,0)),""))</f>
        <v/>
      </c>
      <c r="E288" s="7" t="str">
        <f aca="false">IF(C288="","",IFERROR(INDEX(Productos!$C$5:$C$104,MATCH(C288,Productos!$B$5:$B$104,0)),""))</f>
        <v/>
      </c>
      <c r="F288" s="21"/>
      <c r="G288" s="11" t="str">
        <f aca="false">IF(C288="","",IFERROR(INDEX(Productos!$G$5:$G$104,MATCH(C288,Productos!$B$5:$B$104,0)),0))</f>
        <v/>
      </c>
      <c r="H288" s="26"/>
      <c r="I288" s="11" t="str">
        <f aca="false">IF(C288="","",F288*G288*(1-H288))</f>
        <v/>
      </c>
      <c r="J288" s="20"/>
      <c r="K288" s="20"/>
      <c r="L288" s="11" t="str">
        <f aca="false">IF(C288="","",F288*IFERROR(INDEX(Productos!$F$5:$F$104,MATCH(C288,Productos!$B$5:$B$104,0)),0))</f>
        <v/>
      </c>
      <c r="M288" s="11" t="str">
        <f aca="false">IF(C288="","",I288-L288)</f>
        <v/>
      </c>
    </row>
    <row r="289" customFormat="false" ht="15" hidden="false" customHeight="false" outlineLevel="0" collapsed="false">
      <c r="A289" s="25"/>
      <c r="B289" s="20"/>
      <c r="C289" s="20"/>
      <c r="D289" s="7" t="str">
        <f aca="false">IF(C289="","",IFERROR(INDEX(Productos!$A$5:$A$104,MATCH(C289,Productos!$B$5:$B$104,0)),""))</f>
        <v/>
      </c>
      <c r="E289" s="7" t="str">
        <f aca="false">IF(C289="","",IFERROR(INDEX(Productos!$C$5:$C$104,MATCH(C289,Productos!$B$5:$B$104,0)),""))</f>
        <v/>
      </c>
      <c r="F289" s="21"/>
      <c r="G289" s="11" t="str">
        <f aca="false">IF(C289="","",IFERROR(INDEX(Productos!$G$5:$G$104,MATCH(C289,Productos!$B$5:$B$104,0)),0))</f>
        <v/>
      </c>
      <c r="H289" s="26"/>
      <c r="I289" s="11" t="str">
        <f aca="false">IF(C289="","",F289*G289*(1-H289))</f>
        <v/>
      </c>
      <c r="J289" s="20"/>
      <c r="K289" s="20"/>
      <c r="L289" s="11" t="str">
        <f aca="false">IF(C289="","",F289*IFERROR(INDEX(Productos!$F$5:$F$104,MATCH(C289,Productos!$B$5:$B$104,0)),0))</f>
        <v/>
      </c>
      <c r="M289" s="11" t="str">
        <f aca="false">IF(C289="","",I289-L289)</f>
        <v/>
      </c>
    </row>
    <row r="290" customFormat="false" ht="15" hidden="false" customHeight="false" outlineLevel="0" collapsed="false">
      <c r="A290" s="25"/>
      <c r="B290" s="20"/>
      <c r="C290" s="20"/>
      <c r="D290" s="7" t="str">
        <f aca="false">IF(C290="","",IFERROR(INDEX(Productos!$A$5:$A$104,MATCH(C290,Productos!$B$5:$B$104,0)),""))</f>
        <v/>
      </c>
      <c r="E290" s="7" t="str">
        <f aca="false">IF(C290="","",IFERROR(INDEX(Productos!$C$5:$C$104,MATCH(C290,Productos!$B$5:$B$104,0)),""))</f>
        <v/>
      </c>
      <c r="F290" s="21"/>
      <c r="G290" s="11" t="str">
        <f aca="false">IF(C290="","",IFERROR(INDEX(Productos!$G$5:$G$104,MATCH(C290,Productos!$B$5:$B$104,0)),0))</f>
        <v/>
      </c>
      <c r="H290" s="26"/>
      <c r="I290" s="11" t="str">
        <f aca="false">IF(C290="","",F290*G290*(1-H290))</f>
        <v/>
      </c>
      <c r="J290" s="20"/>
      <c r="K290" s="20"/>
      <c r="L290" s="11" t="str">
        <f aca="false">IF(C290="","",F290*IFERROR(INDEX(Productos!$F$5:$F$104,MATCH(C290,Productos!$B$5:$B$104,0)),0))</f>
        <v/>
      </c>
      <c r="M290" s="11" t="str">
        <f aca="false">IF(C290="","",I290-L290)</f>
        <v/>
      </c>
    </row>
    <row r="291" customFormat="false" ht="15" hidden="false" customHeight="false" outlineLevel="0" collapsed="false">
      <c r="A291" s="25"/>
      <c r="B291" s="20"/>
      <c r="C291" s="20"/>
      <c r="D291" s="7" t="str">
        <f aca="false">IF(C291="","",IFERROR(INDEX(Productos!$A$5:$A$104,MATCH(C291,Productos!$B$5:$B$104,0)),""))</f>
        <v/>
      </c>
      <c r="E291" s="7" t="str">
        <f aca="false">IF(C291="","",IFERROR(INDEX(Productos!$C$5:$C$104,MATCH(C291,Productos!$B$5:$B$104,0)),""))</f>
        <v/>
      </c>
      <c r="F291" s="21"/>
      <c r="G291" s="11" t="str">
        <f aca="false">IF(C291="","",IFERROR(INDEX(Productos!$G$5:$G$104,MATCH(C291,Productos!$B$5:$B$104,0)),0))</f>
        <v/>
      </c>
      <c r="H291" s="26"/>
      <c r="I291" s="11" t="str">
        <f aca="false">IF(C291="","",F291*G291*(1-H291))</f>
        <v/>
      </c>
      <c r="J291" s="20"/>
      <c r="K291" s="20"/>
      <c r="L291" s="11" t="str">
        <f aca="false">IF(C291="","",F291*IFERROR(INDEX(Productos!$F$5:$F$104,MATCH(C291,Productos!$B$5:$B$104,0)),0))</f>
        <v/>
      </c>
      <c r="M291" s="11" t="str">
        <f aca="false">IF(C291="","",I291-L291)</f>
        <v/>
      </c>
    </row>
    <row r="292" customFormat="false" ht="15" hidden="false" customHeight="false" outlineLevel="0" collapsed="false">
      <c r="A292" s="25"/>
      <c r="B292" s="20"/>
      <c r="C292" s="20"/>
      <c r="D292" s="7" t="str">
        <f aca="false">IF(C292="","",IFERROR(INDEX(Productos!$A$5:$A$104,MATCH(C292,Productos!$B$5:$B$104,0)),""))</f>
        <v/>
      </c>
      <c r="E292" s="7" t="str">
        <f aca="false">IF(C292="","",IFERROR(INDEX(Productos!$C$5:$C$104,MATCH(C292,Productos!$B$5:$B$104,0)),""))</f>
        <v/>
      </c>
      <c r="F292" s="21"/>
      <c r="G292" s="11" t="str">
        <f aca="false">IF(C292="","",IFERROR(INDEX(Productos!$G$5:$G$104,MATCH(C292,Productos!$B$5:$B$104,0)),0))</f>
        <v/>
      </c>
      <c r="H292" s="26"/>
      <c r="I292" s="11" t="str">
        <f aca="false">IF(C292="","",F292*G292*(1-H292))</f>
        <v/>
      </c>
      <c r="J292" s="20"/>
      <c r="K292" s="20"/>
      <c r="L292" s="11" t="str">
        <f aca="false">IF(C292="","",F292*IFERROR(INDEX(Productos!$F$5:$F$104,MATCH(C292,Productos!$B$5:$B$104,0)),0))</f>
        <v/>
      </c>
      <c r="M292" s="11" t="str">
        <f aca="false">IF(C292="","",I292-L292)</f>
        <v/>
      </c>
    </row>
    <row r="293" customFormat="false" ht="15" hidden="false" customHeight="false" outlineLevel="0" collapsed="false">
      <c r="A293" s="25"/>
      <c r="B293" s="20"/>
      <c r="C293" s="20"/>
      <c r="D293" s="7" t="str">
        <f aca="false">IF(C293="","",IFERROR(INDEX(Productos!$A$5:$A$104,MATCH(C293,Productos!$B$5:$B$104,0)),""))</f>
        <v/>
      </c>
      <c r="E293" s="7" t="str">
        <f aca="false">IF(C293="","",IFERROR(INDEX(Productos!$C$5:$C$104,MATCH(C293,Productos!$B$5:$B$104,0)),""))</f>
        <v/>
      </c>
      <c r="F293" s="21"/>
      <c r="G293" s="11" t="str">
        <f aca="false">IF(C293="","",IFERROR(INDEX(Productos!$G$5:$G$104,MATCH(C293,Productos!$B$5:$B$104,0)),0))</f>
        <v/>
      </c>
      <c r="H293" s="26"/>
      <c r="I293" s="11" t="str">
        <f aca="false">IF(C293="","",F293*G293*(1-H293))</f>
        <v/>
      </c>
      <c r="J293" s="20"/>
      <c r="K293" s="20"/>
      <c r="L293" s="11" t="str">
        <f aca="false">IF(C293="","",F293*IFERROR(INDEX(Productos!$F$5:$F$104,MATCH(C293,Productos!$B$5:$B$104,0)),0))</f>
        <v/>
      </c>
      <c r="M293" s="11" t="str">
        <f aca="false">IF(C293="","",I293-L293)</f>
        <v/>
      </c>
    </row>
    <row r="294" customFormat="false" ht="15" hidden="false" customHeight="false" outlineLevel="0" collapsed="false">
      <c r="A294" s="25"/>
      <c r="B294" s="20"/>
      <c r="C294" s="20"/>
      <c r="D294" s="7" t="str">
        <f aca="false">IF(C294="","",IFERROR(INDEX(Productos!$A$5:$A$104,MATCH(C294,Productos!$B$5:$B$104,0)),""))</f>
        <v/>
      </c>
      <c r="E294" s="7" t="str">
        <f aca="false">IF(C294="","",IFERROR(INDEX(Productos!$C$5:$C$104,MATCH(C294,Productos!$B$5:$B$104,0)),""))</f>
        <v/>
      </c>
      <c r="F294" s="21"/>
      <c r="G294" s="11" t="str">
        <f aca="false">IF(C294="","",IFERROR(INDEX(Productos!$G$5:$G$104,MATCH(C294,Productos!$B$5:$B$104,0)),0))</f>
        <v/>
      </c>
      <c r="H294" s="26"/>
      <c r="I294" s="11" t="str">
        <f aca="false">IF(C294="","",F294*G294*(1-H294))</f>
        <v/>
      </c>
      <c r="J294" s="20"/>
      <c r="K294" s="20"/>
      <c r="L294" s="11" t="str">
        <f aca="false">IF(C294="","",F294*IFERROR(INDEX(Productos!$F$5:$F$104,MATCH(C294,Productos!$B$5:$B$104,0)),0))</f>
        <v/>
      </c>
      <c r="M294" s="11" t="str">
        <f aca="false">IF(C294="","",I294-L294)</f>
        <v/>
      </c>
    </row>
    <row r="295" customFormat="false" ht="15" hidden="false" customHeight="false" outlineLevel="0" collapsed="false">
      <c r="A295" s="25"/>
      <c r="B295" s="20"/>
      <c r="C295" s="20"/>
      <c r="D295" s="7" t="str">
        <f aca="false">IF(C295="","",IFERROR(INDEX(Productos!$A$5:$A$104,MATCH(C295,Productos!$B$5:$B$104,0)),""))</f>
        <v/>
      </c>
      <c r="E295" s="7" t="str">
        <f aca="false">IF(C295="","",IFERROR(INDEX(Productos!$C$5:$C$104,MATCH(C295,Productos!$B$5:$B$104,0)),""))</f>
        <v/>
      </c>
      <c r="F295" s="21"/>
      <c r="G295" s="11" t="str">
        <f aca="false">IF(C295="","",IFERROR(INDEX(Productos!$G$5:$G$104,MATCH(C295,Productos!$B$5:$B$104,0)),0))</f>
        <v/>
      </c>
      <c r="H295" s="26"/>
      <c r="I295" s="11" t="str">
        <f aca="false">IF(C295="","",F295*G295*(1-H295))</f>
        <v/>
      </c>
      <c r="J295" s="20"/>
      <c r="K295" s="20"/>
      <c r="L295" s="11" t="str">
        <f aca="false">IF(C295="","",F295*IFERROR(INDEX(Productos!$F$5:$F$104,MATCH(C295,Productos!$B$5:$B$104,0)),0))</f>
        <v/>
      </c>
      <c r="M295" s="11" t="str">
        <f aca="false">IF(C295="","",I295-L295)</f>
        <v/>
      </c>
    </row>
    <row r="296" customFormat="false" ht="15" hidden="false" customHeight="false" outlineLevel="0" collapsed="false">
      <c r="A296" s="25"/>
      <c r="B296" s="20"/>
      <c r="C296" s="20"/>
      <c r="D296" s="7" t="str">
        <f aca="false">IF(C296="","",IFERROR(INDEX(Productos!$A$5:$A$104,MATCH(C296,Productos!$B$5:$B$104,0)),""))</f>
        <v/>
      </c>
      <c r="E296" s="7" t="str">
        <f aca="false">IF(C296="","",IFERROR(INDEX(Productos!$C$5:$C$104,MATCH(C296,Productos!$B$5:$B$104,0)),""))</f>
        <v/>
      </c>
      <c r="F296" s="21"/>
      <c r="G296" s="11" t="str">
        <f aca="false">IF(C296="","",IFERROR(INDEX(Productos!$G$5:$G$104,MATCH(C296,Productos!$B$5:$B$104,0)),0))</f>
        <v/>
      </c>
      <c r="H296" s="26"/>
      <c r="I296" s="11" t="str">
        <f aca="false">IF(C296="","",F296*G296*(1-H296))</f>
        <v/>
      </c>
      <c r="J296" s="20"/>
      <c r="K296" s="20"/>
      <c r="L296" s="11" t="str">
        <f aca="false">IF(C296="","",F296*IFERROR(INDEX(Productos!$F$5:$F$104,MATCH(C296,Productos!$B$5:$B$104,0)),0))</f>
        <v/>
      </c>
      <c r="M296" s="11" t="str">
        <f aca="false">IF(C296="","",I296-L296)</f>
        <v/>
      </c>
    </row>
    <row r="297" customFormat="false" ht="15" hidden="false" customHeight="false" outlineLevel="0" collapsed="false">
      <c r="A297" s="25"/>
      <c r="B297" s="20"/>
      <c r="C297" s="20"/>
      <c r="D297" s="7" t="str">
        <f aca="false">IF(C297="","",IFERROR(INDEX(Productos!$A$5:$A$104,MATCH(C297,Productos!$B$5:$B$104,0)),""))</f>
        <v/>
      </c>
      <c r="E297" s="7" t="str">
        <f aca="false">IF(C297="","",IFERROR(INDEX(Productos!$C$5:$C$104,MATCH(C297,Productos!$B$5:$B$104,0)),""))</f>
        <v/>
      </c>
      <c r="F297" s="21"/>
      <c r="G297" s="11" t="str">
        <f aca="false">IF(C297="","",IFERROR(INDEX(Productos!$G$5:$G$104,MATCH(C297,Productos!$B$5:$B$104,0)),0))</f>
        <v/>
      </c>
      <c r="H297" s="26"/>
      <c r="I297" s="11" t="str">
        <f aca="false">IF(C297="","",F297*G297*(1-H297))</f>
        <v/>
      </c>
      <c r="J297" s="20"/>
      <c r="K297" s="20"/>
      <c r="L297" s="11" t="str">
        <f aca="false">IF(C297="","",F297*IFERROR(INDEX(Productos!$F$5:$F$104,MATCH(C297,Productos!$B$5:$B$104,0)),0))</f>
        <v/>
      </c>
      <c r="M297" s="11" t="str">
        <f aca="false">IF(C297="","",I297-L297)</f>
        <v/>
      </c>
    </row>
    <row r="298" customFormat="false" ht="15" hidden="false" customHeight="false" outlineLevel="0" collapsed="false">
      <c r="A298" s="25"/>
      <c r="B298" s="20"/>
      <c r="C298" s="20"/>
      <c r="D298" s="7" t="str">
        <f aca="false">IF(C298="","",IFERROR(INDEX(Productos!$A$5:$A$104,MATCH(C298,Productos!$B$5:$B$104,0)),""))</f>
        <v/>
      </c>
      <c r="E298" s="7" t="str">
        <f aca="false">IF(C298="","",IFERROR(INDEX(Productos!$C$5:$C$104,MATCH(C298,Productos!$B$5:$B$104,0)),""))</f>
        <v/>
      </c>
      <c r="F298" s="21"/>
      <c r="G298" s="11" t="str">
        <f aca="false">IF(C298="","",IFERROR(INDEX(Productos!$G$5:$G$104,MATCH(C298,Productos!$B$5:$B$104,0)),0))</f>
        <v/>
      </c>
      <c r="H298" s="26"/>
      <c r="I298" s="11" t="str">
        <f aca="false">IF(C298="","",F298*G298*(1-H298))</f>
        <v/>
      </c>
      <c r="J298" s="20"/>
      <c r="K298" s="20"/>
      <c r="L298" s="11" t="str">
        <f aca="false">IF(C298="","",F298*IFERROR(INDEX(Productos!$F$5:$F$104,MATCH(C298,Productos!$B$5:$B$104,0)),0))</f>
        <v/>
      </c>
      <c r="M298" s="11" t="str">
        <f aca="false">IF(C298="","",I298-L298)</f>
        <v/>
      </c>
    </row>
    <row r="299" customFormat="false" ht="15" hidden="false" customHeight="false" outlineLevel="0" collapsed="false">
      <c r="A299" s="25"/>
      <c r="B299" s="20"/>
      <c r="C299" s="20"/>
      <c r="D299" s="7" t="str">
        <f aca="false">IF(C299="","",IFERROR(INDEX(Productos!$A$5:$A$104,MATCH(C299,Productos!$B$5:$B$104,0)),""))</f>
        <v/>
      </c>
      <c r="E299" s="7" t="str">
        <f aca="false">IF(C299="","",IFERROR(INDEX(Productos!$C$5:$C$104,MATCH(C299,Productos!$B$5:$B$104,0)),""))</f>
        <v/>
      </c>
      <c r="F299" s="21"/>
      <c r="G299" s="11" t="str">
        <f aca="false">IF(C299="","",IFERROR(INDEX(Productos!$G$5:$G$104,MATCH(C299,Productos!$B$5:$B$104,0)),0))</f>
        <v/>
      </c>
      <c r="H299" s="26"/>
      <c r="I299" s="11" t="str">
        <f aca="false">IF(C299="","",F299*G299*(1-H299))</f>
        <v/>
      </c>
      <c r="J299" s="20"/>
      <c r="K299" s="20"/>
      <c r="L299" s="11" t="str">
        <f aca="false">IF(C299="","",F299*IFERROR(INDEX(Productos!$F$5:$F$104,MATCH(C299,Productos!$B$5:$B$104,0)),0))</f>
        <v/>
      </c>
      <c r="M299" s="11" t="str">
        <f aca="false">IF(C299="","",I299-L299)</f>
        <v/>
      </c>
    </row>
    <row r="300" customFormat="false" ht="15" hidden="false" customHeight="false" outlineLevel="0" collapsed="false">
      <c r="A300" s="25"/>
      <c r="B300" s="20"/>
      <c r="C300" s="20"/>
      <c r="D300" s="7" t="str">
        <f aca="false">IF(C300="","",IFERROR(INDEX(Productos!$A$5:$A$104,MATCH(C300,Productos!$B$5:$B$104,0)),""))</f>
        <v/>
      </c>
      <c r="E300" s="7" t="str">
        <f aca="false">IF(C300="","",IFERROR(INDEX(Productos!$C$5:$C$104,MATCH(C300,Productos!$B$5:$B$104,0)),""))</f>
        <v/>
      </c>
      <c r="F300" s="21"/>
      <c r="G300" s="11" t="str">
        <f aca="false">IF(C300="","",IFERROR(INDEX(Productos!$G$5:$G$104,MATCH(C300,Productos!$B$5:$B$104,0)),0))</f>
        <v/>
      </c>
      <c r="H300" s="26"/>
      <c r="I300" s="11" t="str">
        <f aca="false">IF(C300="","",F300*G300*(1-H300))</f>
        <v/>
      </c>
      <c r="J300" s="20"/>
      <c r="K300" s="20"/>
      <c r="L300" s="11" t="str">
        <f aca="false">IF(C300="","",F300*IFERROR(INDEX(Productos!$F$5:$F$104,MATCH(C300,Productos!$B$5:$B$104,0)),0))</f>
        <v/>
      </c>
      <c r="M300" s="11" t="str">
        <f aca="false">IF(C300="","",I300-L300)</f>
        <v/>
      </c>
    </row>
    <row r="301" customFormat="false" ht="15" hidden="false" customHeight="false" outlineLevel="0" collapsed="false">
      <c r="A301" s="25"/>
      <c r="B301" s="20"/>
      <c r="C301" s="20"/>
      <c r="D301" s="7" t="str">
        <f aca="false">IF(C301="","",IFERROR(INDEX(Productos!$A$5:$A$104,MATCH(C301,Productos!$B$5:$B$104,0)),""))</f>
        <v/>
      </c>
      <c r="E301" s="7" t="str">
        <f aca="false">IF(C301="","",IFERROR(INDEX(Productos!$C$5:$C$104,MATCH(C301,Productos!$B$5:$B$104,0)),""))</f>
        <v/>
      </c>
      <c r="F301" s="21"/>
      <c r="G301" s="11" t="str">
        <f aca="false">IF(C301="","",IFERROR(INDEX(Productos!$G$5:$G$104,MATCH(C301,Productos!$B$5:$B$104,0)),0))</f>
        <v/>
      </c>
      <c r="H301" s="26"/>
      <c r="I301" s="11" t="str">
        <f aca="false">IF(C301="","",F301*G301*(1-H301))</f>
        <v/>
      </c>
      <c r="J301" s="20"/>
      <c r="K301" s="20"/>
      <c r="L301" s="11" t="str">
        <f aca="false">IF(C301="","",F301*IFERROR(INDEX(Productos!$F$5:$F$104,MATCH(C301,Productos!$B$5:$B$104,0)),0))</f>
        <v/>
      </c>
      <c r="M301" s="11" t="str">
        <f aca="false">IF(C301="","",I301-L301)</f>
        <v/>
      </c>
    </row>
    <row r="302" customFormat="false" ht="15" hidden="false" customHeight="false" outlineLevel="0" collapsed="false">
      <c r="A302" s="25"/>
      <c r="B302" s="20"/>
      <c r="C302" s="20"/>
      <c r="D302" s="7" t="str">
        <f aca="false">IF(C302="","",IFERROR(INDEX(Productos!$A$5:$A$104,MATCH(C302,Productos!$B$5:$B$104,0)),""))</f>
        <v/>
      </c>
      <c r="E302" s="7" t="str">
        <f aca="false">IF(C302="","",IFERROR(INDEX(Productos!$C$5:$C$104,MATCH(C302,Productos!$B$5:$B$104,0)),""))</f>
        <v/>
      </c>
      <c r="F302" s="21"/>
      <c r="G302" s="11" t="str">
        <f aca="false">IF(C302="","",IFERROR(INDEX(Productos!$G$5:$G$104,MATCH(C302,Productos!$B$5:$B$104,0)),0))</f>
        <v/>
      </c>
      <c r="H302" s="26"/>
      <c r="I302" s="11" t="str">
        <f aca="false">IF(C302="","",F302*G302*(1-H302))</f>
        <v/>
      </c>
      <c r="J302" s="20"/>
      <c r="K302" s="20"/>
      <c r="L302" s="11" t="str">
        <f aca="false">IF(C302="","",F302*IFERROR(INDEX(Productos!$F$5:$F$104,MATCH(C302,Productos!$B$5:$B$104,0)),0))</f>
        <v/>
      </c>
      <c r="M302" s="11" t="str">
        <f aca="false">IF(C302="","",I302-L302)</f>
        <v/>
      </c>
    </row>
    <row r="303" customFormat="false" ht="15" hidden="false" customHeight="false" outlineLevel="0" collapsed="false">
      <c r="A303" s="25"/>
      <c r="B303" s="20"/>
      <c r="C303" s="20"/>
      <c r="D303" s="7" t="str">
        <f aca="false">IF(C303="","",IFERROR(INDEX(Productos!$A$5:$A$104,MATCH(C303,Productos!$B$5:$B$104,0)),""))</f>
        <v/>
      </c>
      <c r="E303" s="7" t="str">
        <f aca="false">IF(C303="","",IFERROR(INDEX(Productos!$C$5:$C$104,MATCH(C303,Productos!$B$5:$B$104,0)),""))</f>
        <v/>
      </c>
      <c r="F303" s="21"/>
      <c r="G303" s="11" t="str">
        <f aca="false">IF(C303="","",IFERROR(INDEX(Productos!$G$5:$G$104,MATCH(C303,Productos!$B$5:$B$104,0)),0))</f>
        <v/>
      </c>
      <c r="H303" s="26"/>
      <c r="I303" s="11" t="str">
        <f aca="false">IF(C303="","",F303*G303*(1-H303))</f>
        <v/>
      </c>
      <c r="J303" s="20"/>
      <c r="K303" s="20"/>
      <c r="L303" s="11" t="str">
        <f aca="false">IF(C303="","",F303*IFERROR(INDEX(Productos!$F$5:$F$104,MATCH(C303,Productos!$B$5:$B$104,0)),0))</f>
        <v/>
      </c>
      <c r="M303" s="11" t="str">
        <f aca="false">IF(C303="","",I303-L303)</f>
        <v/>
      </c>
    </row>
    <row r="304" customFormat="false" ht="15" hidden="false" customHeight="false" outlineLevel="0" collapsed="false">
      <c r="A304" s="25"/>
      <c r="B304" s="20"/>
      <c r="C304" s="20"/>
      <c r="D304" s="7" t="str">
        <f aca="false">IF(C304="","",IFERROR(INDEX(Productos!$A$5:$A$104,MATCH(C304,Productos!$B$5:$B$104,0)),""))</f>
        <v/>
      </c>
      <c r="E304" s="7" t="str">
        <f aca="false">IF(C304="","",IFERROR(INDEX(Productos!$C$5:$C$104,MATCH(C304,Productos!$B$5:$B$104,0)),""))</f>
        <v/>
      </c>
      <c r="F304" s="21"/>
      <c r="G304" s="11" t="str">
        <f aca="false">IF(C304="","",IFERROR(INDEX(Productos!$G$5:$G$104,MATCH(C304,Productos!$B$5:$B$104,0)),0))</f>
        <v/>
      </c>
      <c r="H304" s="26"/>
      <c r="I304" s="11" t="str">
        <f aca="false">IF(C304="","",F304*G304*(1-H304))</f>
        <v/>
      </c>
      <c r="J304" s="20"/>
      <c r="K304" s="20"/>
      <c r="L304" s="11" t="str">
        <f aca="false">IF(C304="","",F304*IFERROR(INDEX(Productos!$F$5:$F$104,MATCH(C304,Productos!$B$5:$B$104,0)),0))</f>
        <v/>
      </c>
      <c r="M304" s="11" t="str">
        <f aca="false">IF(C304="","",I304-L304)</f>
        <v/>
      </c>
    </row>
    <row r="305" customFormat="false" ht="15" hidden="false" customHeight="false" outlineLevel="0" collapsed="false">
      <c r="A305" s="25"/>
      <c r="B305" s="20"/>
      <c r="C305" s="20"/>
      <c r="D305" s="7" t="str">
        <f aca="false">IF(C305="","",IFERROR(INDEX(Productos!$A$5:$A$104,MATCH(C305,Productos!$B$5:$B$104,0)),""))</f>
        <v/>
      </c>
      <c r="E305" s="7" t="str">
        <f aca="false">IF(C305="","",IFERROR(INDEX(Productos!$C$5:$C$104,MATCH(C305,Productos!$B$5:$B$104,0)),""))</f>
        <v/>
      </c>
      <c r="F305" s="21"/>
      <c r="G305" s="11" t="str">
        <f aca="false">IF(C305="","",IFERROR(INDEX(Productos!$G$5:$G$104,MATCH(C305,Productos!$B$5:$B$104,0)),0))</f>
        <v/>
      </c>
      <c r="H305" s="26"/>
      <c r="I305" s="11" t="str">
        <f aca="false">IF(C305="","",F305*G305*(1-H305))</f>
        <v/>
      </c>
      <c r="J305" s="20"/>
      <c r="K305" s="20"/>
      <c r="L305" s="11" t="str">
        <f aca="false">IF(C305="","",F305*IFERROR(INDEX(Productos!$F$5:$F$104,MATCH(C305,Productos!$B$5:$B$104,0)),0))</f>
        <v/>
      </c>
      <c r="M305" s="11" t="str">
        <f aca="false">IF(C305="","",I305-L305)</f>
        <v/>
      </c>
    </row>
    <row r="306" customFormat="false" ht="15" hidden="false" customHeight="false" outlineLevel="0" collapsed="false">
      <c r="A306" s="25"/>
      <c r="B306" s="20"/>
      <c r="C306" s="20"/>
      <c r="D306" s="7" t="str">
        <f aca="false">IF(C306="","",IFERROR(INDEX(Productos!$A$5:$A$104,MATCH(C306,Productos!$B$5:$B$104,0)),""))</f>
        <v/>
      </c>
      <c r="E306" s="7" t="str">
        <f aca="false">IF(C306="","",IFERROR(INDEX(Productos!$C$5:$C$104,MATCH(C306,Productos!$B$5:$B$104,0)),""))</f>
        <v/>
      </c>
      <c r="F306" s="21"/>
      <c r="G306" s="11" t="str">
        <f aca="false">IF(C306="","",IFERROR(INDEX(Productos!$G$5:$G$104,MATCH(C306,Productos!$B$5:$B$104,0)),0))</f>
        <v/>
      </c>
      <c r="H306" s="26"/>
      <c r="I306" s="11" t="str">
        <f aca="false">IF(C306="","",F306*G306*(1-H306))</f>
        <v/>
      </c>
      <c r="J306" s="20"/>
      <c r="K306" s="20"/>
      <c r="L306" s="11" t="str">
        <f aca="false">IF(C306="","",F306*IFERROR(INDEX(Productos!$F$5:$F$104,MATCH(C306,Productos!$B$5:$B$104,0)),0))</f>
        <v/>
      </c>
      <c r="M306" s="11" t="str">
        <f aca="false">IF(C306="","",I306-L306)</f>
        <v/>
      </c>
    </row>
    <row r="307" customFormat="false" ht="15" hidden="false" customHeight="false" outlineLevel="0" collapsed="false">
      <c r="A307" s="25"/>
      <c r="B307" s="20"/>
      <c r="C307" s="20"/>
      <c r="D307" s="7" t="str">
        <f aca="false">IF(C307="","",IFERROR(INDEX(Productos!$A$5:$A$104,MATCH(C307,Productos!$B$5:$B$104,0)),""))</f>
        <v/>
      </c>
      <c r="E307" s="7" t="str">
        <f aca="false">IF(C307="","",IFERROR(INDEX(Productos!$C$5:$C$104,MATCH(C307,Productos!$B$5:$B$104,0)),""))</f>
        <v/>
      </c>
      <c r="F307" s="21"/>
      <c r="G307" s="11" t="str">
        <f aca="false">IF(C307="","",IFERROR(INDEX(Productos!$G$5:$G$104,MATCH(C307,Productos!$B$5:$B$104,0)),0))</f>
        <v/>
      </c>
      <c r="H307" s="26"/>
      <c r="I307" s="11" t="str">
        <f aca="false">IF(C307="","",F307*G307*(1-H307))</f>
        <v/>
      </c>
      <c r="J307" s="20"/>
      <c r="K307" s="20"/>
      <c r="L307" s="11" t="str">
        <f aca="false">IF(C307="","",F307*IFERROR(INDEX(Productos!$F$5:$F$104,MATCH(C307,Productos!$B$5:$B$104,0)),0))</f>
        <v/>
      </c>
      <c r="M307" s="11" t="str">
        <f aca="false">IF(C307="","",I307-L307)</f>
        <v/>
      </c>
    </row>
    <row r="308" customFormat="false" ht="15" hidden="false" customHeight="false" outlineLevel="0" collapsed="false">
      <c r="A308" s="25"/>
      <c r="B308" s="20"/>
      <c r="C308" s="20"/>
      <c r="D308" s="7" t="str">
        <f aca="false">IF(C308="","",IFERROR(INDEX(Productos!$A$5:$A$104,MATCH(C308,Productos!$B$5:$B$104,0)),""))</f>
        <v/>
      </c>
      <c r="E308" s="7" t="str">
        <f aca="false">IF(C308="","",IFERROR(INDEX(Productos!$C$5:$C$104,MATCH(C308,Productos!$B$5:$B$104,0)),""))</f>
        <v/>
      </c>
      <c r="F308" s="21"/>
      <c r="G308" s="11" t="str">
        <f aca="false">IF(C308="","",IFERROR(INDEX(Productos!$G$5:$G$104,MATCH(C308,Productos!$B$5:$B$104,0)),0))</f>
        <v/>
      </c>
      <c r="H308" s="26"/>
      <c r="I308" s="11" t="str">
        <f aca="false">IF(C308="","",F308*G308*(1-H308))</f>
        <v/>
      </c>
      <c r="J308" s="20"/>
      <c r="K308" s="20"/>
      <c r="L308" s="11" t="str">
        <f aca="false">IF(C308="","",F308*IFERROR(INDEX(Productos!$F$5:$F$104,MATCH(C308,Productos!$B$5:$B$104,0)),0))</f>
        <v/>
      </c>
      <c r="M308" s="11" t="str">
        <f aca="false">IF(C308="","",I308-L308)</f>
        <v/>
      </c>
    </row>
    <row r="309" customFormat="false" ht="15" hidden="false" customHeight="false" outlineLevel="0" collapsed="false">
      <c r="A309" s="25"/>
      <c r="B309" s="20"/>
      <c r="C309" s="20"/>
      <c r="D309" s="7" t="str">
        <f aca="false">IF(C309="","",IFERROR(INDEX(Productos!$A$5:$A$104,MATCH(C309,Productos!$B$5:$B$104,0)),""))</f>
        <v/>
      </c>
      <c r="E309" s="7" t="str">
        <f aca="false">IF(C309="","",IFERROR(INDEX(Productos!$C$5:$C$104,MATCH(C309,Productos!$B$5:$B$104,0)),""))</f>
        <v/>
      </c>
      <c r="F309" s="21"/>
      <c r="G309" s="11" t="str">
        <f aca="false">IF(C309="","",IFERROR(INDEX(Productos!$G$5:$G$104,MATCH(C309,Productos!$B$5:$B$104,0)),0))</f>
        <v/>
      </c>
      <c r="H309" s="26"/>
      <c r="I309" s="11" t="str">
        <f aca="false">IF(C309="","",F309*G309*(1-H309))</f>
        <v/>
      </c>
      <c r="J309" s="20"/>
      <c r="K309" s="20"/>
      <c r="L309" s="11" t="str">
        <f aca="false">IF(C309="","",F309*IFERROR(INDEX(Productos!$F$5:$F$104,MATCH(C309,Productos!$B$5:$B$104,0)),0))</f>
        <v/>
      </c>
      <c r="M309" s="11" t="str">
        <f aca="false">IF(C309="","",I309-L309)</f>
        <v/>
      </c>
    </row>
    <row r="310" customFormat="false" ht="15" hidden="false" customHeight="false" outlineLevel="0" collapsed="false">
      <c r="A310" s="25"/>
      <c r="B310" s="20"/>
      <c r="C310" s="20"/>
      <c r="D310" s="7" t="str">
        <f aca="false">IF(C310="","",IFERROR(INDEX(Productos!$A$5:$A$104,MATCH(C310,Productos!$B$5:$B$104,0)),""))</f>
        <v/>
      </c>
      <c r="E310" s="7" t="str">
        <f aca="false">IF(C310="","",IFERROR(INDEX(Productos!$C$5:$C$104,MATCH(C310,Productos!$B$5:$B$104,0)),""))</f>
        <v/>
      </c>
      <c r="F310" s="21"/>
      <c r="G310" s="11" t="str">
        <f aca="false">IF(C310="","",IFERROR(INDEX(Productos!$G$5:$G$104,MATCH(C310,Productos!$B$5:$B$104,0)),0))</f>
        <v/>
      </c>
      <c r="H310" s="26"/>
      <c r="I310" s="11" t="str">
        <f aca="false">IF(C310="","",F310*G310*(1-H310))</f>
        <v/>
      </c>
      <c r="J310" s="20"/>
      <c r="K310" s="20"/>
      <c r="L310" s="11" t="str">
        <f aca="false">IF(C310="","",F310*IFERROR(INDEX(Productos!$F$5:$F$104,MATCH(C310,Productos!$B$5:$B$104,0)),0))</f>
        <v/>
      </c>
      <c r="M310" s="11" t="str">
        <f aca="false">IF(C310="","",I310-L310)</f>
        <v/>
      </c>
    </row>
    <row r="311" customFormat="false" ht="15" hidden="false" customHeight="false" outlineLevel="0" collapsed="false">
      <c r="A311" s="25"/>
      <c r="B311" s="20"/>
      <c r="C311" s="20"/>
      <c r="D311" s="7" t="str">
        <f aca="false">IF(C311="","",IFERROR(INDEX(Productos!$A$5:$A$104,MATCH(C311,Productos!$B$5:$B$104,0)),""))</f>
        <v/>
      </c>
      <c r="E311" s="7" t="str">
        <f aca="false">IF(C311="","",IFERROR(INDEX(Productos!$C$5:$C$104,MATCH(C311,Productos!$B$5:$B$104,0)),""))</f>
        <v/>
      </c>
      <c r="F311" s="21"/>
      <c r="G311" s="11" t="str">
        <f aca="false">IF(C311="","",IFERROR(INDEX(Productos!$G$5:$G$104,MATCH(C311,Productos!$B$5:$B$104,0)),0))</f>
        <v/>
      </c>
      <c r="H311" s="26"/>
      <c r="I311" s="11" t="str">
        <f aca="false">IF(C311="","",F311*G311*(1-H311))</f>
        <v/>
      </c>
      <c r="J311" s="20"/>
      <c r="K311" s="20"/>
      <c r="L311" s="11" t="str">
        <f aca="false">IF(C311="","",F311*IFERROR(INDEX(Productos!$F$5:$F$104,MATCH(C311,Productos!$B$5:$B$104,0)),0))</f>
        <v/>
      </c>
      <c r="M311" s="11" t="str">
        <f aca="false">IF(C311="","",I311-L311)</f>
        <v/>
      </c>
    </row>
    <row r="312" customFormat="false" ht="15" hidden="false" customHeight="false" outlineLevel="0" collapsed="false">
      <c r="A312" s="25"/>
      <c r="B312" s="20"/>
      <c r="C312" s="20"/>
      <c r="D312" s="7" t="str">
        <f aca="false">IF(C312="","",IFERROR(INDEX(Productos!$A$5:$A$104,MATCH(C312,Productos!$B$5:$B$104,0)),""))</f>
        <v/>
      </c>
      <c r="E312" s="7" t="str">
        <f aca="false">IF(C312="","",IFERROR(INDEX(Productos!$C$5:$C$104,MATCH(C312,Productos!$B$5:$B$104,0)),""))</f>
        <v/>
      </c>
      <c r="F312" s="21"/>
      <c r="G312" s="11" t="str">
        <f aca="false">IF(C312="","",IFERROR(INDEX(Productos!$G$5:$G$104,MATCH(C312,Productos!$B$5:$B$104,0)),0))</f>
        <v/>
      </c>
      <c r="H312" s="26"/>
      <c r="I312" s="11" t="str">
        <f aca="false">IF(C312="","",F312*G312*(1-H312))</f>
        <v/>
      </c>
      <c r="J312" s="20"/>
      <c r="K312" s="20"/>
      <c r="L312" s="11" t="str">
        <f aca="false">IF(C312="","",F312*IFERROR(INDEX(Productos!$F$5:$F$104,MATCH(C312,Productos!$B$5:$B$104,0)),0))</f>
        <v/>
      </c>
      <c r="M312" s="11" t="str">
        <f aca="false">IF(C312="","",I312-L312)</f>
        <v/>
      </c>
    </row>
    <row r="313" customFormat="false" ht="15" hidden="false" customHeight="false" outlineLevel="0" collapsed="false">
      <c r="A313" s="25"/>
      <c r="B313" s="20"/>
      <c r="C313" s="20"/>
      <c r="D313" s="7" t="str">
        <f aca="false">IF(C313="","",IFERROR(INDEX(Productos!$A$5:$A$104,MATCH(C313,Productos!$B$5:$B$104,0)),""))</f>
        <v/>
      </c>
      <c r="E313" s="7" t="str">
        <f aca="false">IF(C313="","",IFERROR(INDEX(Productos!$C$5:$C$104,MATCH(C313,Productos!$B$5:$B$104,0)),""))</f>
        <v/>
      </c>
      <c r="F313" s="21"/>
      <c r="G313" s="11" t="str">
        <f aca="false">IF(C313="","",IFERROR(INDEX(Productos!$G$5:$G$104,MATCH(C313,Productos!$B$5:$B$104,0)),0))</f>
        <v/>
      </c>
      <c r="H313" s="26"/>
      <c r="I313" s="11" t="str">
        <f aca="false">IF(C313="","",F313*G313*(1-H313))</f>
        <v/>
      </c>
      <c r="J313" s="20"/>
      <c r="K313" s="20"/>
      <c r="L313" s="11" t="str">
        <f aca="false">IF(C313="","",F313*IFERROR(INDEX(Productos!$F$5:$F$104,MATCH(C313,Productos!$B$5:$B$104,0)),0))</f>
        <v/>
      </c>
      <c r="M313" s="11" t="str">
        <f aca="false">IF(C313="","",I313-L313)</f>
        <v/>
      </c>
    </row>
    <row r="314" customFormat="false" ht="15" hidden="false" customHeight="false" outlineLevel="0" collapsed="false">
      <c r="A314" s="25"/>
      <c r="B314" s="20"/>
      <c r="C314" s="20"/>
      <c r="D314" s="7" t="str">
        <f aca="false">IF(C314="","",IFERROR(INDEX(Productos!$A$5:$A$104,MATCH(C314,Productos!$B$5:$B$104,0)),""))</f>
        <v/>
      </c>
      <c r="E314" s="7" t="str">
        <f aca="false">IF(C314="","",IFERROR(INDEX(Productos!$C$5:$C$104,MATCH(C314,Productos!$B$5:$B$104,0)),""))</f>
        <v/>
      </c>
      <c r="F314" s="21"/>
      <c r="G314" s="11" t="str">
        <f aca="false">IF(C314="","",IFERROR(INDEX(Productos!$G$5:$G$104,MATCH(C314,Productos!$B$5:$B$104,0)),0))</f>
        <v/>
      </c>
      <c r="H314" s="26"/>
      <c r="I314" s="11" t="str">
        <f aca="false">IF(C314="","",F314*G314*(1-H314))</f>
        <v/>
      </c>
      <c r="J314" s="20"/>
      <c r="K314" s="20"/>
      <c r="L314" s="11" t="str">
        <f aca="false">IF(C314="","",F314*IFERROR(INDEX(Productos!$F$5:$F$104,MATCH(C314,Productos!$B$5:$B$104,0)),0))</f>
        <v/>
      </c>
      <c r="M314" s="11" t="str">
        <f aca="false">IF(C314="","",I314-L314)</f>
        <v/>
      </c>
    </row>
    <row r="315" customFormat="false" ht="15" hidden="false" customHeight="false" outlineLevel="0" collapsed="false">
      <c r="A315" s="25"/>
      <c r="B315" s="20"/>
      <c r="C315" s="20"/>
      <c r="D315" s="7" t="str">
        <f aca="false">IF(C315="","",IFERROR(INDEX(Productos!$A$5:$A$104,MATCH(C315,Productos!$B$5:$B$104,0)),""))</f>
        <v/>
      </c>
      <c r="E315" s="7" t="str">
        <f aca="false">IF(C315="","",IFERROR(INDEX(Productos!$C$5:$C$104,MATCH(C315,Productos!$B$5:$B$104,0)),""))</f>
        <v/>
      </c>
      <c r="F315" s="21"/>
      <c r="G315" s="11" t="str">
        <f aca="false">IF(C315="","",IFERROR(INDEX(Productos!$G$5:$G$104,MATCH(C315,Productos!$B$5:$B$104,0)),0))</f>
        <v/>
      </c>
      <c r="H315" s="26"/>
      <c r="I315" s="11" t="str">
        <f aca="false">IF(C315="","",F315*G315*(1-H315))</f>
        <v/>
      </c>
      <c r="J315" s="20"/>
      <c r="K315" s="20"/>
      <c r="L315" s="11" t="str">
        <f aca="false">IF(C315="","",F315*IFERROR(INDEX(Productos!$F$5:$F$104,MATCH(C315,Productos!$B$5:$B$104,0)),0))</f>
        <v/>
      </c>
      <c r="M315" s="11" t="str">
        <f aca="false">IF(C315="","",I315-L315)</f>
        <v/>
      </c>
    </row>
    <row r="316" customFormat="false" ht="15" hidden="false" customHeight="false" outlineLevel="0" collapsed="false">
      <c r="A316" s="25"/>
      <c r="B316" s="20"/>
      <c r="C316" s="20"/>
      <c r="D316" s="7" t="str">
        <f aca="false">IF(C316="","",IFERROR(INDEX(Productos!$A$5:$A$104,MATCH(C316,Productos!$B$5:$B$104,0)),""))</f>
        <v/>
      </c>
      <c r="E316" s="7" t="str">
        <f aca="false">IF(C316="","",IFERROR(INDEX(Productos!$C$5:$C$104,MATCH(C316,Productos!$B$5:$B$104,0)),""))</f>
        <v/>
      </c>
      <c r="F316" s="21"/>
      <c r="G316" s="11" t="str">
        <f aca="false">IF(C316="","",IFERROR(INDEX(Productos!$G$5:$G$104,MATCH(C316,Productos!$B$5:$B$104,0)),0))</f>
        <v/>
      </c>
      <c r="H316" s="26"/>
      <c r="I316" s="11" t="str">
        <f aca="false">IF(C316="","",F316*G316*(1-H316))</f>
        <v/>
      </c>
      <c r="J316" s="20"/>
      <c r="K316" s="20"/>
      <c r="L316" s="11" t="str">
        <f aca="false">IF(C316="","",F316*IFERROR(INDEX(Productos!$F$5:$F$104,MATCH(C316,Productos!$B$5:$B$104,0)),0))</f>
        <v/>
      </c>
      <c r="M316" s="11" t="str">
        <f aca="false">IF(C316="","",I316-L316)</f>
        <v/>
      </c>
    </row>
    <row r="317" customFormat="false" ht="15" hidden="false" customHeight="false" outlineLevel="0" collapsed="false">
      <c r="A317" s="25"/>
      <c r="B317" s="20"/>
      <c r="C317" s="20"/>
      <c r="D317" s="7" t="str">
        <f aca="false">IF(C317="","",IFERROR(INDEX(Productos!$A$5:$A$104,MATCH(C317,Productos!$B$5:$B$104,0)),""))</f>
        <v/>
      </c>
      <c r="E317" s="7" t="str">
        <f aca="false">IF(C317="","",IFERROR(INDEX(Productos!$C$5:$C$104,MATCH(C317,Productos!$B$5:$B$104,0)),""))</f>
        <v/>
      </c>
      <c r="F317" s="21"/>
      <c r="G317" s="11" t="str">
        <f aca="false">IF(C317="","",IFERROR(INDEX(Productos!$G$5:$G$104,MATCH(C317,Productos!$B$5:$B$104,0)),0))</f>
        <v/>
      </c>
      <c r="H317" s="26"/>
      <c r="I317" s="11" t="str">
        <f aca="false">IF(C317="","",F317*G317*(1-H317))</f>
        <v/>
      </c>
      <c r="J317" s="20"/>
      <c r="K317" s="20"/>
      <c r="L317" s="11" t="str">
        <f aca="false">IF(C317="","",F317*IFERROR(INDEX(Productos!$F$5:$F$104,MATCH(C317,Productos!$B$5:$B$104,0)),0))</f>
        <v/>
      </c>
      <c r="M317" s="11" t="str">
        <f aca="false">IF(C317="","",I317-L317)</f>
        <v/>
      </c>
    </row>
    <row r="318" customFormat="false" ht="15" hidden="false" customHeight="false" outlineLevel="0" collapsed="false">
      <c r="A318" s="25"/>
      <c r="B318" s="20"/>
      <c r="C318" s="20"/>
      <c r="D318" s="7" t="str">
        <f aca="false">IF(C318="","",IFERROR(INDEX(Productos!$A$5:$A$104,MATCH(C318,Productos!$B$5:$B$104,0)),""))</f>
        <v/>
      </c>
      <c r="E318" s="7" t="str">
        <f aca="false">IF(C318="","",IFERROR(INDEX(Productos!$C$5:$C$104,MATCH(C318,Productos!$B$5:$B$104,0)),""))</f>
        <v/>
      </c>
      <c r="F318" s="21"/>
      <c r="G318" s="11" t="str">
        <f aca="false">IF(C318="","",IFERROR(INDEX(Productos!$G$5:$G$104,MATCH(C318,Productos!$B$5:$B$104,0)),0))</f>
        <v/>
      </c>
      <c r="H318" s="26"/>
      <c r="I318" s="11" t="str">
        <f aca="false">IF(C318="","",F318*G318*(1-H318))</f>
        <v/>
      </c>
      <c r="J318" s="20"/>
      <c r="K318" s="20"/>
      <c r="L318" s="11" t="str">
        <f aca="false">IF(C318="","",F318*IFERROR(INDEX(Productos!$F$5:$F$104,MATCH(C318,Productos!$B$5:$B$104,0)),0))</f>
        <v/>
      </c>
      <c r="M318" s="11" t="str">
        <f aca="false">IF(C318="","",I318-L318)</f>
        <v/>
      </c>
    </row>
    <row r="319" customFormat="false" ht="15" hidden="false" customHeight="false" outlineLevel="0" collapsed="false">
      <c r="A319" s="25"/>
      <c r="B319" s="20"/>
      <c r="C319" s="20"/>
      <c r="D319" s="7" t="str">
        <f aca="false">IF(C319="","",IFERROR(INDEX(Productos!$A$5:$A$104,MATCH(C319,Productos!$B$5:$B$104,0)),""))</f>
        <v/>
      </c>
      <c r="E319" s="7" t="str">
        <f aca="false">IF(C319="","",IFERROR(INDEX(Productos!$C$5:$C$104,MATCH(C319,Productos!$B$5:$B$104,0)),""))</f>
        <v/>
      </c>
      <c r="F319" s="21"/>
      <c r="G319" s="11" t="str">
        <f aca="false">IF(C319="","",IFERROR(INDEX(Productos!$G$5:$G$104,MATCH(C319,Productos!$B$5:$B$104,0)),0))</f>
        <v/>
      </c>
      <c r="H319" s="26"/>
      <c r="I319" s="11" t="str">
        <f aca="false">IF(C319="","",F319*G319*(1-H319))</f>
        <v/>
      </c>
      <c r="J319" s="20"/>
      <c r="K319" s="20"/>
      <c r="L319" s="11" t="str">
        <f aca="false">IF(C319="","",F319*IFERROR(INDEX(Productos!$F$5:$F$104,MATCH(C319,Productos!$B$5:$B$104,0)),0))</f>
        <v/>
      </c>
      <c r="M319" s="11" t="str">
        <f aca="false">IF(C319="","",I319-L319)</f>
        <v/>
      </c>
    </row>
    <row r="320" customFormat="false" ht="15" hidden="false" customHeight="false" outlineLevel="0" collapsed="false">
      <c r="A320" s="25"/>
      <c r="B320" s="20"/>
      <c r="C320" s="20"/>
      <c r="D320" s="7" t="str">
        <f aca="false">IF(C320="","",IFERROR(INDEX(Productos!$A$5:$A$104,MATCH(C320,Productos!$B$5:$B$104,0)),""))</f>
        <v/>
      </c>
      <c r="E320" s="7" t="str">
        <f aca="false">IF(C320="","",IFERROR(INDEX(Productos!$C$5:$C$104,MATCH(C320,Productos!$B$5:$B$104,0)),""))</f>
        <v/>
      </c>
      <c r="F320" s="21"/>
      <c r="G320" s="11" t="str">
        <f aca="false">IF(C320="","",IFERROR(INDEX(Productos!$G$5:$G$104,MATCH(C320,Productos!$B$5:$B$104,0)),0))</f>
        <v/>
      </c>
      <c r="H320" s="26"/>
      <c r="I320" s="11" t="str">
        <f aca="false">IF(C320="","",F320*G320*(1-H320))</f>
        <v/>
      </c>
      <c r="J320" s="20"/>
      <c r="K320" s="20"/>
      <c r="L320" s="11" t="str">
        <f aca="false">IF(C320="","",F320*IFERROR(INDEX(Productos!$F$5:$F$104,MATCH(C320,Productos!$B$5:$B$104,0)),0))</f>
        <v/>
      </c>
      <c r="M320" s="11" t="str">
        <f aca="false">IF(C320="","",I320-L320)</f>
        <v/>
      </c>
    </row>
    <row r="321" customFormat="false" ht="15" hidden="false" customHeight="false" outlineLevel="0" collapsed="false">
      <c r="A321" s="25"/>
      <c r="B321" s="20"/>
      <c r="C321" s="20"/>
      <c r="D321" s="7" t="str">
        <f aca="false">IF(C321="","",IFERROR(INDEX(Productos!$A$5:$A$104,MATCH(C321,Productos!$B$5:$B$104,0)),""))</f>
        <v/>
      </c>
      <c r="E321" s="7" t="str">
        <f aca="false">IF(C321="","",IFERROR(INDEX(Productos!$C$5:$C$104,MATCH(C321,Productos!$B$5:$B$104,0)),""))</f>
        <v/>
      </c>
      <c r="F321" s="21"/>
      <c r="G321" s="11" t="str">
        <f aca="false">IF(C321="","",IFERROR(INDEX(Productos!$G$5:$G$104,MATCH(C321,Productos!$B$5:$B$104,0)),0))</f>
        <v/>
      </c>
      <c r="H321" s="26"/>
      <c r="I321" s="11" t="str">
        <f aca="false">IF(C321="","",F321*G321*(1-H321))</f>
        <v/>
      </c>
      <c r="J321" s="20"/>
      <c r="K321" s="20"/>
      <c r="L321" s="11" t="str">
        <f aca="false">IF(C321="","",F321*IFERROR(INDEX(Productos!$F$5:$F$104,MATCH(C321,Productos!$B$5:$B$104,0)),0))</f>
        <v/>
      </c>
      <c r="M321" s="11" t="str">
        <f aca="false">IF(C321="","",I321-L321)</f>
        <v/>
      </c>
    </row>
    <row r="322" customFormat="false" ht="15" hidden="false" customHeight="false" outlineLevel="0" collapsed="false">
      <c r="A322" s="25"/>
      <c r="B322" s="20"/>
      <c r="C322" s="20"/>
      <c r="D322" s="7" t="str">
        <f aca="false">IF(C322="","",IFERROR(INDEX(Productos!$A$5:$A$104,MATCH(C322,Productos!$B$5:$B$104,0)),""))</f>
        <v/>
      </c>
      <c r="E322" s="7" t="str">
        <f aca="false">IF(C322="","",IFERROR(INDEX(Productos!$C$5:$C$104,MATCH(C322,Productos!$B$5:$B$104,0)),""))</f>
        <v/>
      </c>
      <c r="F322" s="21"/>
      <c r="G322" s="11" t="str">
        <f aca="false">IF(C322="","",IFERROR(INDEX(Productos!$G$5:$G$104,MATCH(C322,Productos!$B$5:$B$104,0)),0))</f>
        <v/>
      </c>
      <c r="H322" s="26"/>
      <c r="I322" s="11" t="str">
        <f aca="false">IF(C322="","",F322*G322*(1-H322))</f>
        <v/>
      </c>
      <c r="J322" s="20"/>
      <c r="K322" s="20"/>
      <c r="L322" s="11" t="str">
        <f aca="false">IF(C322="","",F322*IFERROR(INDEX(Productos!$F$5:$F$104,MATCH(C322,Productos!$B$5:$B$104,0)),0))</f>
        <v/>
      </c>
      <c r="M322" s="11" t="str">
        <f aca="false">IF(C322="","",I322-L322)</f>
        <v/>
      </c>
    </row>
    <row r="323" customFormat="false" ht="15" hidden="false" customHeight="false" outlineLevel="0" collapsed="false">
      <c r="A323" s="25"/>
      <c r="B323" s="20"/>
      <c r="C323" s="20"/>
      <c r="D323" s="7" t="str">
        <f aca="false">IF(C323="","",IFERROR(INDEX(Productos!$A$5:$A$104,MATCH(C323,Productos!$B$5:$B$104,0)),""))</f>
        <v/>
      </c>
      <c r="E323" s="7" t="str">
        <f aca="false">IF(C323="","",IFERROR(INDEX(Productos!$C$5:$C$104,MATCH(C323,Productos!$B$5:$B$104,0)),""))</f>
        <v/>
      </c>
      <c r="F323" s="21"/>
      <c r="G323" s="11" t="str">
        <f aca="false">IF(C323="","",IFERROR(INDEX(Productos!$G$5:$G$104,MATCH(C323,Productos!$B$5:$B$104,0)),0))</f>
        <v/>
      </c>
      <c r="H323" s="26"/>
      <c r="I323" s="11" t="str">
        <f aca="false">IF(C323="","",F323*G323*(1-H323))</f>
        <v/>
      </c>
      <c r="J323" s="20"/>
      <c r="K323" s="20"/>
      <c r="L323" s="11" t="str">
        <f aca="false">IF(C323="","",F323*IFERROR(INDEX(Productos!$F$5:$F$104,MATCH(C323,Productos!$B$5:$B$104,0)),0))</f>
        <v/>
      </c>
      <c r="M323" s="11" t="str">
        <f aca="false">IF(C323="","",I323-L323)</f>
        <v/>
      </c>
    </row>
    <row r="324" customFormat="false" ht="15" hidden="false" customHeight="false" outlineLevel="0" collapsed="false">
      <c r="A324" s="25"/>
      <c r="B324" s="20"/>
      <c r="C324" s="20"/>
      <c r="D324" s="7" t="str">
        <f aca="false">IF(C324="","",IFERROR(INDEX(Productos!$A$5:$A$104,MATCH(C324,Productos!$B$5:$B$104,0)),""))</f>
        <v/>
      </c>
      <c r="E324" s="7" t="str">
        <f aca="false">IF(C324="","",IFERROR(INDEX(Productos!$C$5:$C$104,MATCH(C324,Productos!$B$5:$B$104,0)),""))</f>
        <v/>
      </c>
      <c r="F324" s="21"/>
      <c r="G324" s="11" t="str">
        <f aca="false">IF(C324="","",IFERROR(INDEX(Productos!$G$5:$G$104,MATCH(C324,Productos!$B$5:$B$104,0)),0))</f>
        <v/>
      </c>
      <c r="H324" s="26"/>
      <c r="I324" s="11" t="str">
        <f aca="false">IF(C324="","",F324*G324*(1-H324))</f>
        <v/>
      </c>
      <c r="J324" s="20"/>
      <c r="K324" s="20"/>
      <c r="L324" s="11" t="str">
        <f aca="false">IF(C324="","",F324*IFERROR(INDEX(Productos!$F$5:$F$104,MATCH(C324,Productos!$B$5:$B$104,0)),0))</f>
        <v/>
      </c>
      <c r="M324" s="11" t="str">
        <f aca="false">IF(C324="","",I324-L324)</f>
        <v/>
      </c>
    </row>
    <row r="325" customFormat="false" ht="15" hidden="false" customHeight="false" outlineLevel="0" collapsed="false">
      <c r="A325" s="25"/>
      <c r="B325" s="20"/>
      <c r="C325" s="20"/>
      <c r="D325" s="7" t="str">
        <f aca="false">IF(C325="","",IFERROR(INDEX(Productos!$A$5:$A$104,MATCH(C325,Productos!$B$5:$B$104,0)),""))</f>
        <v/>
      </c>
      <c r="E325" s="7" t="str">
        <f aca="false">IF(C325="","",IFERROR(INDEX(Productos!$C$5:$C$104,MATCH(C325,Productos!$B$5:$B$104,0)),""))</f>
        <v/>
      </c>
      <c r="F325" s="21"/>
      <c r="G325" s="11" t="str">
        <f aca="false">IF(C325="","",IFERROR(INDEX(Productos!$G$5:$G$104,MATCH(C325,Productos!$B$5:$B$104,0)),0))</f>
        <v/>
      </c>
      <c r="H325" s="26"/>
      <c r="I325" s="11" t="str">
        <f aca="false">IF(C325="","",F325*G325*(1-H325))</f>
        <v/>
      </c>
      <c r="J325" s="20"/>
      <c r="K325" s="20"/>
      <c r="L325" s="11" t="str">
        <f aca="false">IF(C325="","",F325*IFERROR(INDEX(Productos!$F$5:$F$104,MATCH(C325,Productos!$B$5:$B$104,0)),0))</f>
        <v/>
      </c>
      <c r="M325" s="11" t="str">
        <f aca="false">IF(C325="","",I325-L325)</f>
        <v/>
      </c>
    </row>
    <row r="326" customFormat="false" ht="15" hidden="false" customHeight="false" outlineLevel="0" collapsed="false">
      <c r="A326" s="25"/>
      <c r="B326" s="20"/>
      <c r="C326" s="20"/>
      <c r="D326" s="7" t="str">
        <f aca="false">IF(C326="","",IFERROR(INDEX(Productos!$A$5:$A$104,MATCH(C326,Productos!$B$5:$B$104,0)),""))</f>
        <v/>
      </c>
      <c r="E326" s="7" t="str">
        <f aca="false">IF(C326="","",IFERROR(INDEX(Productos!$C$5:$C$104,MATCH(C326,Productos!$B$5:$B$104,0)),""))</f>
        <v/>
      </c>
      <c r="F326" s="21"/>
      <c r="G326" s="11" t="str">
        <f aca="false">IF(C326="","",IFERROR(INDEX(Productos!$G$5:$G$104,MATCH(C326,Productos!$B$5:$B$104,0)),0))</f>
        <v/>
      </c>
      <c r="H326" s="26"/>
      <c r="I326" s="11" t="str">
        <f aca="false">IF(C326="","",F326*G326*(1-H326))</f>
        <v/>
      </c>
      <c r="J326" s="20"/>
      <c r="K326" s="20"/>
      <c r="L326" s="11" t="str">
        <f aca="false">IF(C326="","",F326*IFERROR(INDEX(Productos!$F$5:$F$104,MATCH(C326,Productos!$B$5:$B$104,0)),0))</f>
        <v/>
      </c>
      <c r="M326" s="11" t="str">
        <f aca="false">IF(C326="","",I326-L326)</f>
        <v/>
      </c>
    </row>
    <row r="327" customFormat="false" ht="15" hidden="false" customHeight="false" outlineLevel="0" collapsed="false">
      <c r="A327" s="25"/>
      <c r="B327" s="20"/>
      <c r="C327" s="20"/>
      <c r="D327" s="7" t="str">
        <f aca="false">IF(C327="","",IFERROR(INDEX(Productos!$A$5:$A$104,MATCH(C327,Productos!$B$5:$B$104,0)),""))</f>
        <v/>
      </c>
      <c r="E327" s="7" t="str">
        <f aca="false">IF(C327="","",IFERROR(INDEX(Productos!$C$5:$C$104,MATCH(C327,Productos!$B$5:$B$104,0)),""))</f>
        <v/>
      </c>
      <c r="F327" s="21"/>
      <c r="G327" s="11" t="str">
        <f aca="false">IF(C327="","",IFERROR(INDEX(Productos!$G$5:$G$104,MATCH(C327,Productos!$B$5:$B$104,0)),0))</f>
        <v/>
      </c>
      <c r="H327" s="26"/>
      <c r="I327" s="11" t="str">
        <f aca="false">IF(C327="","",F327*G327*(1-H327))</f>
        <v/>
      </c>
      <c r="J327" s="20"/>
      <c r="K327" s="20"/>
      <c r="L327" s="11" t="str">
        <f aca="false">IF(C327="","",F327*IFERROR(INDEX(Productos!$F$5:$F$104,MATCH(C327,Productos!$B$5:$B$104,0)),0))</f>
        <v/>
      </c>
      <c r="M327" s="11" t="str">
        <f aca="false">IF(C327="","",I327-L327)</f>
        <v/>
      </c>
    </row>
    <row r="328" customFormat="false" ht="15" hidden="false" customHeight="false" outlineLevel="0" collapsed="false">
      <c r="A328" s="25"/>
      <c r="B328" s="20"/>
      <c r="C328" s="20"/>
      <c r="D328" s="7" t="str">
        <f aca="false">IF(C328="","",IFERROR(INDEX(Productos!$A$5:$A$104,MATCH(C328,Productos!$B$5:$B$104,0)),""))</f>
        <v/>
      </c>
      <c r="E328" s="7" t="str">
        <f aca="false">IF(C328="","",IFERROR(INDEX(Productos!$C$5:$C$104,MATCH(C328,Productos!$B$5:$B$104,0)),""))</f>
        <v/>
      </c>
      <c r="F328" s="21"/>
      <c r="G328" s="11" t="str">
        <f aca="false">IF(C328="","",IFERROR(INDEX(Productos!$G$5:$G$104,MATCH(C328,Productos!$B$5:$B$104,0)),0))</f>
        <v/>
      </c>
      <c r="H328" s="26"/>
      <c r="I328" s="11" t="str">
        <f aca="false">IF(C328="","",F328*G328*(1-H328))</f>
        <v/>
      </c>
      <c r="J328" s="20"/>
      <c r="K328" s="20"/>
      <c r="L328" s="11" t="str">
        <f aca="false">IF(C328="","",F328*IFERROR(INDEX(Productos!$F$5:$F$104,MATCH(C328,Productos!$B$5:$B$104,0)),0))</f>
        <v/>
      </c>
      <c r="M328" s="11" t="str">
        <f aca="false">IF(C328="","",I328-L328)</f>
        <v/>
      </c>
    </row>
    <row r="329" customFormat="false" ht="15" hidden="false" customHeight="false" outlineLevel="0" collapsed="false">
      <c r="A329" s="25"/>
      <c r="B329" s="20"/>
      <c r="C329" s="20"/>
      <c r="D329" s="7" t="str">
        <f aca="false">IF(C329="","",IFERROR(INDEX(Productos!$A$5:$A$104,MATCH(C329,Productos!$B$5:$B$104,0)),""))</f>
        <v/>
      </c>
      <c r="E329" s="7" t="str">
        <f aca="false">IF(C329="","",IFERROR(INDEX(Productos!$C$5:$C$104,MATCH(C329,Productos!$B$5:$B$104,0)),""))</f>
        <v/>
      </c>
      <c r="F329" s="21"/>
      <c r="G329" s="11" t="str">
        <f aca="false">IF(C329="","",IFERROR(INDEX(Productos!$G$5:$G$104,MATCH(C329,Productos!$B$5:$B$104,0)),0))</f>
        <v/>
      </c>
      <c r="H329" s="26"/>
      <c r="I329" s="11" t="str">
        <f aca="false">IF(C329="","",F329*G329*(1-H329))</f>
        <v/>
      </c>
      <c r="J329" s="20"/>
      <c r="K329" s="20"/>
      <c r="L329" s="11" t="str">
        <f aca="false">IF(C329="","",F329*IFERROR(INDEX(Productos!$F$5:$F$104,MATCH(C329,Productos!$B$5:$B$104,0)),0))</f>
        <v/>
      </c>
      <c r="M329" s="11" t="str">
        <f aca="false">IF(C329="","",I329-L329)</f>
        <v/>
      </c>
    </row>
    <row r="330" customFormat="false" ht="15" hidden="false" customHeight="false" outlineLevel="0" collapsed="false">
      <c r="A330" s="25"/>
      <c r="B330" s="20"/>
      <c r="C330" s="20"/>
      <c r="D330" s="7" t="str">
        <f aca="false">IF(C330="","",IFERROR(INDEX(Productos!$A$5:$A$104,MATCH(C330,Productos!$B$5:$B$104,0)),""))</f>
        <v/>
      </c>
      <c r="E330" s="7" t="str">
        <f aca="false">IF(C330="","",IFERROR(INDEX(Productos!$C$5:$C$104,MATCH(C330,Productos!$B$5:$B$104,0)),""))</f>
        <v/>
      </c>
      <c r="F330" s="21"/>
      <c r="G330" s="11" t="str">
        <f aca="false">IF(C330="","",IFERROR(INDEX(Productos!$G$5:$G$104,MATCH(C330,Productos!$B$5:$B$104,0)),0))</f>
        <v/>
      </c>
      <c r="H330" s="26"/>
      <c r="I330" s="11" t="str">
        <f aca="false">IF(C330="","",F330*G330*(1-H330))</f>
        <v/>
      </c>
      <c r="J330" s="20"/>
      <c r="K330" s="20"/>
      <c r="L330" s="11" t="str">
        <f aca="false">IF(C330="","",F330*IFERROR(INDEX(Productos!$F$5:$F$104,MATCH(C330,Productos!$B$5:$B$104,0)),0))</f>
        <v/>
      </c>
      <c r="M330" s="11" t="str">
        <f aca="false">IF(C330="","",I330-L330)</f>
        <v/>
      </c>
    </row>
    <row r="331" customFormat="false" ht="15" hidden="false" customHeight="false" outlineLevel="0" collapsed="false">
      <c r="A331" s="25"/>
      <c r="B331" s="20"/>
      <c r="C331" s="20"/>
      <c r="D331" s="7" t="str">
        <f aca="false">IF(C331="","",IFERROR(INDEX(Productos!$A$5:$A$104,MATCH(C331,Productos!$B$5:$B$104,0)),""))</f>
        <v/>
      </c>
      <c r="E331" s="7" t="str">
        <f aca="false">IF(C331="","",IFERROR(INDEX(Productos!$C$5:$C$104,MATCH(C331,Productos!$B$5:$B$104,0)),""))</f>
        <v/>
      </c>
      <c r="F331" s="21"/>
      <c r="G331" s="11" t="str">
        <f aca="false">IF(C331="","",IFERROR(INDEX(Productos!$G$5:$G$104,MATCH(C331,Productos!$B$5:$B$104,0)),0))</f>
        <v/>
      </c>
      <c r="H331" s="26"/>
      <c r="I331" s="11" t="str">
        <f aca="false">IF(C331="","",F331*G331*(1-H331))</f>
        <v/>
      </c>
      <c r="J331" s="20"/>
      <c r="K331" s="20"/>
      <c r="L331" s="11" t="str">
        <f aca="false">IF(C331="","",F331*IFERROR(INDEX(Productos!$F$5:$F$104,MATCH(C331,Productos!$B$5:$B$104,0)),0))</f>
        <v/>
      </c>
      <c r="M331" s="11" t="str">
        <f aca="false">IF(C331="","",I331-L331)</f>
        <v/>
      </c>
    </row>
    <row r="332" customFormat="false" ht="15" hidden="false" customHeight="false" outlineLevel="0" collapsed="false">
      <c r="A332" s="25"/>
      <c r="B332" s="20"/>
      <c r="C332" s="20"/>
      <c r="D332" s="7" t="str">
        <f aca="false">IF(C332="","",IFERROR(INDEX(Productos!$A$5:$A$104,MATCH(C332,Productos!$B$5:$B$104,0)),""))</f>
        <v/>
      </c>
      <c r="E332" s="7" t="str">
        <f aca="false">IF(C332="","",IFERROR(INDEX(Productos!$C$5:$C$104,MATCH(C332,Productos!$B$5:$B$104,0)),""))</f>
        <v/>
      </c>
      <c r="F332" s="21"/>
      <c r="G332" s="11" t="str">
        <f aca="false">IF(C332="","",IFERROR(INDEX(Productos!$G$5:$G$104,MATCH(C332,Productos!$B$5:$B$104,0)),0))</f>
        <v/>
      </c>
      <c r="H332" s="26"/>
      <c r="I332" s="11" t="str">
        <f aca="false">IF(C332="","",F332*G332*(1-H332))</f>
        <v/>
      </c>
      <c r="J332" s="20"/>
      <c r="K332" s="20"/>
      <c r="L332" s="11" t="str">
        <f aca="false">IF(C332="","",F332*IFERROR(INDEX(Productos!$F$5:$F$104,MATCH(C332,Productos!$B$5:$B$104,0)),0))</f>
        <v/>
      </c>
      <c r="M332" s="11" t="str">
        <f aca="false">IF(C332="","",I332-L332)</f>
        <v/>
      </c>
    </row>
    <row r="333" customFormat="false" ht="15" hidden="false" customHeight="false" outlineLevel="0" collapsed="false">
      <c r="A333" s="25"/>
      <c r="B333" s="20"/>
      <c r="C333" s="20"/>
      <c r="D333" s="7" t="str">
        <f aca="false">IF(C333="","",IFERROR(INDEX(Productos!$A$5:$A$104,MATCH(C333,Productos!$B$5:$B$104,0)),""))</f>
        <v/>
      </c>
      <c r="E333" s="7" t="str">
        <f aca="false">IF(C333="","",IFERROR(INDEX(Productos!$C$5:$C$104,MATCH(C333,Productos!$B$5:$B$104,0)),""))</f>
        <v/>
      </c>
      <c r="F333" s="21"/>
      <c r="G333" s="11" t="str">
        <f aca="false">IF(C333="","",IFERROR(INDEX(Productos!$G$5:$G$104,MATCH(C333,Productos!$B$5:$B$104,0)),0))</f>
        <v/>
      </c>
      <c r="H333" s="26"/>
      <c r="I333" s="11" t="str">
        <f aca="false">IF(C333="","",F333*G333*(1-H333))</f>
        <v/>
      </c>
      <c r="J333" s="20"/>
      <c r="K333" s="20"/>
      <c r="L333" s="11" t="str">
        <f aca="false">IF(C333="","",F333*IFERROR(INDEX(Productos!$F$5:$F$104,MATCH(C333,Productos!$B$5:$B$104,0)),0))</f>
        <v/>
      </c>
      <c r="M333" s="11" t="str">
        <f aca="false">IF(C333="","",I333-L333)</f>
        <v/>
      </c>
    </row>
    <row r="334" customFormat="false" ht="15" hidden="false" customHeight="false" outlineLevel="0" collapsed="false">
      <c r="A334" s="25"/>
      <c r="B334" s="20"/>
      <c r="C334" s="20"/>
      <c r="D334" s="7" t="str">
        <f aca="false">IF(C334="","",IFERROR(INDEX(Productos!$A$5:$A$104,MATCH(C334,Productos!$B$5:$B$104,0)),""))</f>
        <v/>
      </c>
      <c r="E334" s="7" t="str">
        <f aca="false">IF(C334="","",IFERROR(INDEX(Productos!$C$5:$C$104,MATCH(C334,Productos!$B$5:$B$104,0)),""))</f>
        <v/>
      </c>
      <c r="F334" s="21"/>
      <c r="G334" s="11" t="str">
        <f aca="false">IF(C334="","",IFERROR(INDEX(Productos!$G$5:$G$104,MATCH(C334,Productos!$B$5:$B$104,0)),0))</f>
        <v/>
      </c>
      <c r="H334" s="26"/>
      <c r="I334" s="11" t="str">
        <f aca="false">IF(C334="","",F334*G334*(1-H334))</f>
        <v/>
      </c>
      <c r="J334" s="20"/>
      <c r="K334" s="20"/>
      <c r="L334" s="11" t="str">
        <f aca="false">IF(C334="","",F334*IFERROR(INDEX(Productos!$F$5:$F$104,MATCH(C334,Productos!$B$5:$B$104,0)),0))</f>
        <v/>
      </c>
      <c r="M334" s="11" t="str">
        <f aca="false">IF(C334="","",I334-L334)</f>
        <v/>
      </c>
    </row>
    <row r="335" customFormat="false" ht="15" hidden="false" customHeight="false" outlineLevel="0" collapsed="false">
      <c r="A335" s="25"/>
      <c r="B335" s="20"/>
      <c r="C335" s="20"/>
      <c r="D335" s="7" t="str">
        <f aca="false">IF(C335="","",IFERROR(INDEX(Productos!$A$5:$A$104,MATCH(C335,Productos!$B$5:$B$104,0)),""))</f>
        <v/>
      </c>
      <c r="E335" s="7" t="str">
        <f aca="false">IF(C335="","",IFERROR(INDEX(Productos!$C$5:$C$104,MATCH(C335,Productos!$B$5:$B$104,0)),""))</f>
        <v/>
      </c>
      <c r="F335" s="21"/>
      <c r="G335" s="11" t="str">
        <f aca="false">IF(C335="","",IFERROR(INDEX(Productos!$G$5:$G$104,MATCH(C335,Productos!$B$5:$B$104,0)),0))</f>
        <v/>
      </c>
      <c r="H335" s="26"/>
      <c r="I335" s="11" t="str">
        <f aca="false">IF(C335="","",F335*G335*(1-H335))</f>
        <v/>
      </c>
      <c r="J335" s="20"/>
      <c r="K335" s="20"/>
      <c r="L335" s="11" t="str">
        <f aca="false">IF(C335="","",F335*IFERROR(INDEX(Productos!$F$5:$F$104,MATCH(C335,Productos!$B$5:$B$104,0)),0))</f>
        <v/>
      </c>
      <c r="M335" s="11" t="str">
        <f aca="false">IF(C335="","",I335-L335)</f>
        <v/>
      </c>
    </row>
    <row r="336" customFormat="false" ht="15" hidden="false" customHeight="false" outlineLevel="0" collapsed="false">
      <c r="A336" s="25"/>
      <c r="B336" s="20"/>
      <c r="C336" s="20"/>
      <c r="D336" s="7" t="str">
        <f aca="false">IF(C336="","",IFERROR(INDEX(Productos!$A$5:$A$104,MATCH(C336,Productos!$B$5:$B$104,0)),""))</f>
        <v/>
      </c>
      <c r="E336" s="7" t="str">
        <f aca="false">IF(C336="","",IFERROR(INDEX(Productos!$C$5:$C$104,MATCH(C336,Productos!$B$5:$B$104,0)),""))</f>
        <v/>
      </c>
      <c r="F336" s="21"/>
      <c r="G336" s="11" t="str">
        <f aca="false">IF(C336="","",IFERROR(INDEX(Productos!$G$5:$G$104,MATCH(C336,Productos!$B$5:$B$104,0)),0))</f>
        <v/>
      </c>
      <c r="H336" s="26"/>
      <c r="I336" s="11" t="str">
        <f aca="false">IF(C336="","",F336*G336*(1-H336))</f>
        <v/>
      </c>
      <c r="J336" s="20"/>
      <c r="K336" s="20"/>
      <c r="L336" s="11" t="str">
        <f aca="false">IF(C336="","",F336*IFERROR(INDEX(Productos!$F$5:$F$104,MATCH(C336,Productos!$B$5:$B$104,0)),0))</f>
        <v/>
      </c>
      <c r="M336" s="11" t="str">
        <f aca="false">IF(C336="","",I336-L336)</f>
        <v/>
      </c>
    </row>
    <row r="337" customFormat="false" ht="15" hidden="false" customHeight="false" outlineLevel="0" collapsed="false">
      <c r="A337" s="25"/>
      <c r="B337" s="20"/>
      <c r="C337" s="20"/>
      <c r="D337" s="7" t="str">
        <f aca="false">IF(C337="","",IFERROR(INDEX(Productos!$A$5:$A$104,MATCH(C337,Productos!$B$5:$B$104,0)),""))</f>
        <v/>
      </c>
      <c r="E337" s="7" t="str">
        <f aca="false">IF(C337="","",IFERROR(INDEX(Productos!$C$5:$C$104,MATCH(C337,Productos!$B$5:$B$104,0)),""))</f>
        <v/>
      </c>
      <c r="F337" s="21"/>
      <c r="G337" s="11" t="str">
        <f aca="false">IF(C337="","",IFERROR(INDEX(Productos!$G$5:$G$104,MATCH(C337,Productos!$B$5:$B$104,0)),0))</f>
        <v/>
      </c>
      <c r="H337" s="26"/>
      <c r="I337" s="11" t="str">
        <f aca="false">IF(C337="","",F337*G337*(1-H337))</f>
        <v/>
      </c>
      <c r="J337" s="20"/>
      <c r="K337" s="20"/>
      <c r="L337" s="11" t="str">
        <f aca="false">IF(C337="","",F337*IFERROR(INDEX(Productos!$F$5:$F$104,MATCH(C337,Productos!$B$5:$B$104,0)),0))</f>
        <v/>
      </c>
      <c r="M337" s="11" t="str">
        <f aca="false">IF(C337="","",I337-L337)</f>
        <v/>
      </c>
    </row>
    <row r="338" customFormat="false" ht="15" hidden="false" customHeight="false" outlineLevel="0" collapsed="false">
      <c r="A338" s="25"/>
      <c r="B338" s="20"/>
      <c r="C338" s="20"/>
      <c r="D338" s="7" t="str">
        <f aca="false">IF(C338="","",IFERROR(INDEX(Productos!$A$5:$A$104,MATCH(C338,Productos!$B$5:$B$104,0)),""))</f>
        <v/>
      </c>
      <c r="E338" s="7" t="str">
        <f aca="false">IF(C338="","",IFERROR(INDEX(Productos!$C$5:$C$104,MATCH(C338,Productos!$B$5:$B$104,0)),""))</f>
        <v/>
      </c>
      <c r="F338" s="21"/>
      <c r="G338" s="11" t="str">
        <f aca="false">IF(C338="","",IFERROR(INDEX(Productos!$G$5:$G$104,MATCH(C338,Productos!$B$5:$B$104,0)),0))</f>
        <v/>
      </c>
      <c r="H338" s="26"/>
      <c r="I338" s="11" t="str">
        <f aca="false">IF(C338="","",F338*G338*(1-H338))</f>
        <v/>
      </c>
      <c r="J338" s="20"/>
      <c r="K338" s="20"/>
      <c r="L338" s="11" t="str">
        <f aca="false">IF(C338="","",F338*IFERROR(INDEX(Productos!$F$5:$F$104,MATCH(C338,Productos!$B$5:$B$104,0)),0))</f>
        <v/>
      </c>
      <c r="M338" s="11" t="str">
        <f aca="false">IF(C338="","",I338-L338)</f>
        <v/>
      </c>
    </row>
    <row r="339" customFormat="false" ht="15" hidden="false" customHeight="false" outlineLevel="0" collapsed="false">
      <c r="A339" s="25"/>
      <c r="B339" s="20"/>
      <c r="C339" s="20"/>
      <c r="D339" s="7" t="str">
        <f aca="false">IF(C339="","",IFERROR(INDEX(Productos!$A$5:$A$104,MATCH(C339,Productos!$B$5:$B$104,0)),""))</f>
        <v/>
      </c>
      <c r="E339" s="7" t="str">
        <f aca="false">IF(C339="","",IFERROR(INDEX(Productos!$C$5:$C$104,MATCH(C339,Productos!$B$5:$B$104,0)),""))</f>
        <v/>
      </c>
      <c r="F339" s="21"/>
      <c r="G339" s="11" t="str">
        <f aca="false">IF(C339="","",IFERROR(INDEX(Productos!$G$5:$G$104,MATCH(C339,Productos!$B$5:$B$104,0)),0))</f>
        <v/>
      </c>
      <c r="H339" s="26"/>
      <c r="I339" s="11" t="str">
        <f aca="false">IF(C339="","",F339*G339*(1-H339))</f>
        <v/>
      </c>
      <c r="J339" s="20"/>
      <c r="K339" s="20"/>
      <c r="L339" s="11" t="str">
        <f aca="false">IF(C339="","",F339*IFERROR(INDEX(Productos!$F$5:$F$104,MATCH(C339,Productos!$B$5:$B$104,0)),0))</f>
        <v/>
      </c>
      <c r="M339" s="11" t="str">
        <f aca="false">IF(C339="","",I339-L339)</f>
        <v/>
      </c>
    </row>
    <row r="340" customFormat="false" ht="15" hidden="false" customHeight="false" outlineLevel="0" collapsed="false">
      <c r="A340" s="25"/>
      <c r="B340" s="20"/>
      <c r="C340" s="20"/>
      <c r="D340" s="7" t="str">
        <f aca="false">IF(C340="","",IFERROR(INDEX(Productos!$A$5:$A$104,MATCH(C340,Productos!$B$5:$B$104,0)),""))</f>
        <v/>
      </c>
      <c r="E340" s="7" t="str">
        <f aca="false">IF(C340="","",IFERROR(INDEX(Productos!$C$5:$C$104,MATCH(C340,Productos!$B$5:$B$104,0)),""))</f>
        <v/>
      </c>
      <c r="F340" s="21"/>
      <c r="G340" s="11" t="str">
        <f aca="false">IF(C340="","",IFERROR(INDEX(Productos!$G$5:$G$104,MATCH(C340,Productos!$B$5:$B$104,0)),0))</f>
        <v/>
      </c>
      <c r="H340" s="26"/>
      <c r="I340" s="11" t="str">
        <f aca="false">IF(C340="","",F340*G340*(1-H340))</f>
        <v/>
      </c>
      <c r="J340" s="20"/>
      <c r="K340" s="20"/>
      <c r="L340" s="11" t="str">
        <f aca="false">IF(C340="","",F340*IFERROR(INDEX(Productos!$F$5:$F$104,MATCH(C340,Productos!$B$5:$B$104,0)),0))</f>
        <v/>
      </c>
      <c r="M340" s="11" t="str">
        <f aca="false">IF(C340="","",I340-L340)</f>
        <v/>
      </c>
    </row>
    <row r="341" customFormat="false" ht="15" hidden="false" customHeight="false" outlineLevel="0" collapsed="false">
      <c r="A341" s="25"/>
      <c r="B341" s="20"/>
      <c r="C341" s="20"/>
      <c r="D341" s="7" t="str">
        <f aca="false">IF(C341="","",IFERROR(INDEX(Productos!$A$5:$A$104,MATCH(C341,Productos!$B$5:$B$104,0)),""))</f>
        <v/>
      </c>
      <c r="E341" s="7" t="str">
        <f aca="false">IF(C341="","",IFERROR(INDEX(Productos!$C$5:$C$104,MATCH(C341,Productos!$B$5:$B$104,0)),""))</f>
        <v/>
      </c>
      <c r="F341" s="21"/>
      <c r="G341" s="11" t="str">
        <f aca="false">IF(C341="","",IFERROR(INDEX(Productos!$G$5:$G$104,MATCH(C341,Productos!$B$5:$B$104,0)),0))</f>
        <v/>
      </c>
      <c r="H341" s="26"/>
      <c r="I341" s="11" t="str">
        <f aca="false">IF(C341="","",F341*G341*(1-H341))</f>
        <v/>
      </c>
      <c r="J341" s="20"/>
      <c r="K341" s="20"/>
      <c r="L341" s="11" t="str">
        <f aca="false">IF(C341="","",F341*IFERROR(INDEX(Productos!$F$5:$F$104,MATCH(C341,Productos!$B$5:$B$104,0)),0))</f>
        <v/>
      </c>
      <c r="M341" s="11" t="str">
        <f aca="false">IF(C341="","",I341-L341)</f>
        <v/>
      </c>
    </row>
    <row r="342" customFormat="false" ht="15" hidden="false" customHeight="false" outlineLevel="0" collapsed="false">
      <c r="A342" s="25"/>
      <c r="B342" s="20"/>
      <c r="C342" s="20"/>
      <c r="D342" s="7" t="str">
        <f aca="false">IF(C342="","",IFERROR(INDEX(Productos!$A$5:$A$104,MATCH(C342,Productos!$B$5:$B$104,0)),""))</f>
        <v/>
      </c>
      <c r="E342" s="7" t="str">
        <f aca="false">IF(C342="","",IFERROR(INDEX(Productos!$C$5:$C$104,MATCH(C342,Productos!$B$5:$B$104,0)),""))</f>
        <v/>
      </c>
      <c r="F342" s="21"/>
      <c r="G342" s="11" t="str">
        <f aca="false">IF(C342="","",IFERROR(INDEX(Productos!$G$5:$G$104,MATCH(C342,Productos!$B$5:$B$104,0)),0))</f>
        <v/>
      </c>
      <c r="H342" s="26"/>
      <c r="I342" s="11" t="str">
        <f aca="false">IF(C342="","",F342*G342*(1-H342))</f>
        <v/>
      </c>
      <c r="J342" s="20"/>
      <c r="K342" s="20"/>
      <c r="L342" s="11" t="str">
        <f aca="false">IF(C342="","",F342*IFERROR(INDEX(Productos!$F$5:$F$104,MATCH(C342,Productos!$B$5:$B$104,0)),0))</f>
        <v/>
      </c>
      <c r="M342" s="11" t="str">
        <f aca="false">IF(C342="","",I342-L342)</f>
        <v/>
      </c>
    </row>
    <row r="343" customFormat="false" ht="15" hidden="false" customHeight="false" outlineLevel="0" collapsed="false">
      <c r="A343" s="25"/>
      <c r="B343" s="20"/>
      <c r="C343" s="20"/>
      <c r="D343" s="7" t="str">
        <f aca="false">IF(C343="","",IFERROR(INDEX(Productos!$A$5:$A$104,MATCH(C343,Productos!$B$5:$B$104,0)),""))</f>
        <v/>
      </c>
      <c r="E343" s="7" t="str">
        <f aca="false">IF(C343="","",IFERROR(INDEX(Productos!$C$5:$C$104,MATCH(C343,Productos!$B$5:$B$104,0)),""))</f>
        <v/>
      </c>
      <c r="F343" s="21"/>
      <c r="G343" s="11" t="str">
        <f aca="false">IF(C343="","",IFERROR(INDEX(Productos!$G$5:$G$104,MATCH(C343,Productos!$B$5:$B$104,0)),0))</f>
        <v/>
      </c>
      <c r="H343" s="26"/>
      <c r="I343" s="11" t="str">
        <f aca="false">IF(C343="","",F343*G343*(1-H343))</f>
        <v/>
      </c>
      <c r="J343" s="20"/>
      <c r="K343" s="20"/>
      <c r="L343" s="11" t="str">
        <f aca="false">IF(C343="","",F343*IFERROR(INDEX(Productos!$F$5:$F$104,MATCH(C343,Productos!$B$5:$B$104,0)),0))</f>
        <v/>
      </c>
      <c r="M343" s="11" t="str">
        <f aca="false">IF(C343="","",I343-L343)</f>
        <v/>
      </c>
    </row>
    <row r="344" customFormat="false" ht="15" hidden="false" customHeight="false" outlineLevel="0" collapsed="false">
      <c r="A344" s="25"/>
      <c r="B344" s="20"/>
      <c r="C344" s="20"/>
      <c r="D344" s="7" t="str">
        <f aca="false">IF(C344="","",IFERROR(INDEX(Productos!$A$5:$A$104,MATCH(C344,Productos!$B$5:$B$104,0)),""))</f>
        <v/>
      </c>
      <c r="E344" s="7" t="str">
        <f aca="false">IF(C344="","",IFERROR(INDEX(Productos!$C$5:$C$104,MATCH(C344,Productos!$B$5:$B$104,0)),""))</f>
        <v/>
      </c>
      <c r="F344" s="21"/>
      <c r="G344" s="11" t="str">
        <f aca="false">IF(C344="","",IFERROR(INDEX(Productos!$G$5:$G$104,MATCH(C344,Productos!$B$5:$B$104,0)),0))</f>
        <v/>
      </c>
      <c r="H344" s="26"/>
      <c r="I344" s="11" t="str">
        <f aca="false">IF(C344="","",F344*G344*(1-H344))</f>
        <v/>
      </c>
      <c r="J344" s="20"/>
      <c r="K344" s="20"/>
      <c r="L344" s="11" t="str">
        <f aca="false">IF(C344="","",F344*IFERROR(INDEX(Productos!$F$5:$F$104,MATCH(C344,Productos!$B$5:$B$104,0)),0))</f>
        <v/>
      </c>
      <c r="M344" s="11" t="str">
        <f aca="false">IF(C344="","",I344-L344)</f>
        <v/>
      </c>
    </row>
    <row r="345" customFormat="false" ht="15" hidden="false" customHeight="false" outlineLevel="0" collapsed="false">
      <c r="A345" s="25"/>
      <c r="B345" s="20"/>
      <c r="C345" s="20"/>
      <c r="D345" s="7" t="str">
        <f aca="false">IF(C345="","",IFERROR(INDEX(Productos!$A$5:$A$104,MATCH(C345,Productos!$B$5:$B$104,0)),""))</f>
        <v/>
      </c>
      <c r="E345" s="7" t="str">
        <f aca="false">IF(C345="","",IFERROR(INDEX(Productos!$C$5:$C$104,MATCH(C345,Productos!$B$5:$B$104,0)),""))</f>
        <v/>
      </c>
      <c r="F345" s="21"/>
      <c r="G345" s="11" t="str">
        <f aca="false">IF(C345="","",IFERROR(INDEX(Productos!$G$5:$G$104,MATCH(C345,Productos!$B$5:$B$104,0)),0))</f>
        <v/>
      </c>
      <c r="H345" s="26"/>
      <c r="I345" s="11" t="str">
        <f aca="false">IF(C345="","",F345*G345*(1-H345))</f>
        <v/>
      </c>
      <c r="J345" s="20"/>
      <c r="K345" s="20"/>
      <c r="L345" s="11" t="str">
        <f aca="false">IF(C345="","",F345*IFERROR(INDEX(Productos!$F$5:$F$104,MATCH(C345,Productos!$B$5:$B$104,0)),0))</f>
        <v/>
      </c>
      <c r="M345" s="11" t="str">
        <f aca="false">IF(C345="","",I345-L345)</f>
        <v/>
      </c>
    </row>
    <row r="346" customFormat="false" ht="15" hidden="false" customHeight="false" outlineLevel="0" collapsed="false">
      <c r="A346" s="25"/>
      <c r="B346" s="20"/>
      <c r="C346" s="20"/>
      <c r="D346" s="7" t="str">
        <f aca="false">IF(C346="","",IFERROR(INDEX(Productos!$A$5:$A$104,MATCH(C346,Productos!$B$5:$B$104,0)),""))</f>
        <v/>
      </c>
      <c r="E346" s="7" t="str">
        <f aca="false">IF(C346="","",IFERROR(INDEX(Productos!$C$5:$C$104,MATCH(C346,Productos!$B$5:$B$104,0)),""))</f>
        <v/>
      </c>
      <c r="F346" s="21"/>
      <c r="G346" s="11" t="str">
        <f aca="false">IF(C346="","",IFERROR(INDEX(Productos!$G$5:$G$104,MATCH(C346,Productos!$B$5:$B$104,0)),0))</f>
        <v/>
      </c>
      <c r="H346" s="26"/>
      <c r="I346" s="11" t="str">
        <f aca="false">IF(C346="","",F346*G346*(1-H346))</f>
        <v/>
      </c>
      <c r="J346" s="20"/>
      <c r="K346" s="20"/>
      <c r="L346" s="11" t="str">
        <f aca="false">IF(C346="","",F346*IFERROR(INDEX(Productos!$F$5:$F$104,MATCH(C346,Productos!$B$5:$B$104,0)),0))</f>
        <v/>
      </c>
      <c r="M346" s="11" t="str">
        <f aca="false">IF(C346="","",I346-L346)</f>
        <v/>
      </c>
    </row>
    <row r="347" customFormat="false" ht="15" hidden="false" customHeight="false" outlineLevel="0" collapsed="false">
      <c r="A347" s="25"/>
      <c r="B347" s="20"/>
      <c r="C347" s="20"/>
      <c r="D347" s="7" t="str">
        <f aca="false">IF(C347="","",IFERROR(INDEX(Productos!$A$5:$A$104,MATCH(C347,Productos!$B$5:$B$104,0)),""))</f>
        <v/>
      </c>
      <c r="E347" s="7" t="str">
        <f aca="false">IF(C347="","",IFERROR(INDEX(Productos!$C$5:$C$104,MATCH(C347,Productos!$B$5:$B$104,0)),""))</f>
        <v/>
      </c>
      <c r="F347" s="21"/>
      <c r="G347" s="11" t="str">
        <f aca="false">IF(C347="","",IFERROR(INDEX(Productos!$G$5:$G$104,MATCH(C347,Productos!$B$5:$B$104,0)),0))</f>
        <v/>
      </c>
      <c r="H347" s="26"/>
      <c r="I347" s="11" t="str">
        <f aca="false">IF(C347="","",F347*G347*(1-H347))</f>
        <v/>
      </c>
      <c r="J347" s="20"/>
      <c r="K347" s="20"/>
      <c r="L347" s="11" t="str">
        <f aca="false">IF(C347="","",F347*IFERROR(INDEX(Productos!$F$5:$F$104,MATCH(C347,Productos!$B$5:$B$104,0)),0))</f>
        <v/>
      </c>
      <c r="M347" s="11" t="str">
        <f aca="false">IF(C347="","",I347-L347)</f>
        <v/>
      </c>
    </row>
    <row r="348" customFormat="false" ht="15" hidden="false" customHeight="false" outlineLevel="0" collapsed="false">
      <c r="A348" s="25"/>
      <c r="B348" s="20"/>
      <c r="C348" s="20"/>
      <c r="D348" s="7" t="str">
        <f aca="false">IF(C348="","",IFERROR(INDEX(Productos!$A$5:$A$104,MATCH(C348,Productos!$B$5:$B$104,0)),""))</f>
        <v/>
      </c>
      <c r="E348" s="7" t="str">
        <f aca="false">IF(C348="","",IFERROR(INDEX(Productos!$C$5:$C$104,MATCH(C348,Productos!$B$5:$B$104,0)),""))</f>
        <v/>
      </c>
      <c r="F348" s="21"/>
      <c r="G348" s="11" t="str">
        <f aca="false">IF(C348="","",IFERROR(INDEX(Productos!$G$5:$G$104,MATCH(C348,Productos!$B$5:$B$104,0)),0))</f>
        <v/>
      </c>
      <c r="H348" s="26"/>
      <c r="I348" s="11" t="str">
        <f aca="false">IF(C348="","",F348*G348*(1-H348))</f>
        <v/>
      </c>
      <c r="J348" s="20"/>
      <c r="K348" s="20"/>
      <c r="L348" s="11" t="str">
        <f aca="false">IF(C348="","",F348*IFERROR(INDEX(Productos!$F$5:$F$104,MATCH(C348,Productos!$B$5:$B$104,0)),0))</f>
        <v/>
      </c>
      <c r="M348" s="11" t="str">
        <f aca="false">IF(C348="","",I348-L348)</f>
        <v/>
      </c>
    </row>
    <row r="349" customFormat="false" ht="15" hidden="false" customHeight="false" outlineLevel="0" collapsed="false">
      <c r="A349" s="25"/>
      <c r="B349" s="20"/>
      <c r="C349" s="20"/>
      <c r="D349" s="7" t="str">
        <f aca="false">IF(C349="","",IFERROR(INDEX(Productos!$A$5:$A$104,MATCH(C349,Productos!$B$5:$B$104,0)),""))</f>
        <v/>
      </c>
      <c r="E349" s="7" t="str">
        <f aca="false">IF(C349="","",IFERROR(INDEX(Productos!$C$5:$C$104,MATCH(C349,Productos!$B$5:$B$104,0)),""))</f>
        <v/>
      </c>
      <c r="F349" s="21"/>
      <c r="G349" s="11" t="str">
        <f aca="false">IF(C349="","",IFERROR(INDEX(Productos!$G$5:$G$104,MATCH(C349,Productos!$B$5:$B$104,0)),0))</f>
        <v/>
      </c>
      <c r="H349" s="26"/>
      <c r="I349" s="11" t="str">
        <f aca="false">IF(C349="","",F349*G349*(1-H349))</f>
        <v/>
      </c>
      <c r="J349" s="20"/>
      <c r="K349" s="20"/>
      <c r="L349" s="11" t="str">
        <f aca="false">IF(C349="","",F349*IFERROR(INDEX(Productos!$F$5:$F$104,MATCH(C349,Productos!$B$5:$B$104,0)),0))</f>
        <v/>
      </c>
      <c r="M349" s="11" t="str">
        <f aca="false">IF(C349="","",I349-L349)</f>
        <v/>
      </c>
    </row>
    <row r="350" customFormat="false" ht="15" hidden="false" customHeight="false" outlineLevel="0" collapsed="false">
      <c r="A350" s="25"/>
      <c r="B350" s="20"/>
      <c r="C350" s="20"/>
      <c r="D350" s="7" t="str">
        <f aca="false">IF(C350="","",IFERROR(INDEX(Productos!$A$5:$A$104,MATCH(C350,Productos!$B$5:$B$104,0)),""))</f>
        <v/>
      </c>
      <c r="E350" s="7" t="str">
        <f aca="false">IF(C350="","",IFERROR(INDEX(Productos!$C$5:$C$104,MATCH(C350,Productos!$B$5:$B$104,0)),""))</f>
        <v/>
      </c>
      <c r="F350" s="21"/>
      <c r="G350" s="11" t="str">
        <f aca="false">IF(C350="","",IFERROR(INDEX(Productos!$G$5:$G$104,MATCH(C350,Productos!$B$5:$B$104,0)),0))</f>
        <v/>
      </c>
      <c r="H350" s="26"/>
      <c r="I350" s="11" t="str">
        <f aca="false">IF(C350="","",F350*G350*(1-H350))</f>
        <v/>
      </c>
      <c r="J350" s="20"/>
      <c r="K350" s="20"/>
      <c r="L350" s="11" t="str">
        <f aca="false">IF(C350="","",F350*IFERROR(INDEX(Productos!$F$5:$F$104,MATCH(C350,Productos!$B$5:$B$104,0)),0))</f>
        <v/>
      </c>
      <c r="M350" s="11" t="str">
        <f aca="false">IF(C350="","",I350-L350)</f>
        <v/>
      </c>
    </row>
    <row r="351" customFormat="false" ht="15" hidden="false" customHeight="false" outlineLevel="0" collapsed="false">
      <c r="A351" s="25"/>
      <c r="B351" s="20"/>
      <c r="C351" s="20"/>
      <c r="D351" s="7" t="str">
        <f aca="false">IF(C351="","",IFERROR(INDEX(Productos!$A$5:$A$104,MATCH(C351,Productos!$B$5:$B$104,0)),""))</f>
        <v/>
      </c>
      <c r="E351" s="7" t="str">
        <f aca="false">IF(C351="","",IFERROR(INDEX(Productos!$C$5:$C$104,MATCH(C351,Productos!$B$5:$B$104,0)),""))</f>
        <v/>
      </c>
      <c r="F351" s="21"/>
      <c r="G351" s="11" t="str">
        <f aca="false">IF(C351="","",IFERROR(INDEX(Productos!$G$5:$G$104,MATCH(C351,Productos!$B$5:$B$104,0)),0))</f>
        <v/>
      </c>
      <c r="H351" s="26"/>
      <c r="I351" s="11" t="str">
        <f aca="false">IF(C351="","",F351*G351*(1-H351))</f>
        <v/>
      </c>
      <c r="J351" s="20"/>
      <c r="K351" s="20"/>
      <c r="L351" s="11" t="str">
        <f aca="false">IF(C351="","",F351*IFERROR(INDEX(Productos!$F$5:$F$104,MATCH(C351,Productos!$B$5:$B$104,0)),0))</f>
        <v/>
      </c>
      <c r="M351" s="11" t="str">
        <f aca="false">IF(C351="","",I351-L351)</f>
        <v/>
      </c>
    </row>
    <row r="352" customFormat="false" ht="15" hidden="false" customHeight="false" outlineLevel="0" collapsed="false">
      <c r="A352" s="25"/>
      <c r="B352" s="20"/>
      <c r="C352" s="20"/>
      <c r="D352" s="7" t="str">
        <f aca="false">IF(C352="","",IFERROR(INDEX(Productos!$A$5:$A$104,MATCH(C352,Productos!$B$5:$B$104,0)),""))</f>
        <v/>
      </c>
      <c r="E352" s="7" t="str">
        <f aca="false">IF(C352="","",IFERROR(INDEX(Productos!$C$5:$C$104,MATCH(C352,Productos!$B$5:$B$104,0)),""))</f>
        <v/>
      </c>
      <c r="F352" s="21"/>
      <c r="G352" s="11" t="str">
        <f aca="false">IF(C352="","",IFERROR(INDEX(Productos!$G$5:$G$104,MATCH(C352,Productos!$B$5:$B$104,0)),0))</f>
        <v/>
      </c>
      <c r="H352" s="26"/>
      <c r="I352" s="11" t="str">
        <f aca="false">IF(C352="","",F352*G352*(1-H352))</f>
        <v/>
      </c>
      <c r="J352" s="20"/>
      <c r="K352" s="20"/>
      <c r="L352" s="11" t="str">
        <f aca="false">IF(C352="","",F352*IFERROR(INDEX(Productos!$F$5:$F$104,MATCH(C352,Productos!$B$5:$B$104,0)),0))</f>
        <v/>
      </c>
      <c r="M352" s="11" t="str">
        <f aca="false">IF(C352="","",I352-L352)</f>
        <v/>
      </c>
    </row>
    <row r="353" customFormat="false" ht="15" hidden="false" customHeight="false" outlineLevel="0" collapsed="false">
      <c r="A353" s="25"/>
      <c r="B353" s="20"/>
      <c r="C353" s="20"/>
      <c r="D353" s="7" t="str">
        <f aca="false">IF(C353="","",IFERROR(INDEX(Productos!$A$5:$A$104,MATCH(C353,Productos!$B$5:$B$104,0)),""))</f>
        <v/>
      </c>
      <c r="E353" s="7" t="str">
        <f aca="false">IF(C353="","",IFERROR(INDEX(Productos!$C$5:$C$104,MATCH(C353,Productos!$B$5:$B$104,0)),""))</f>
        <v/>
      </c>
      <c r="F353" s="21"/>
      <c r="G353" s="11" t="str">
        <f aca="false">IF(C353="","",IFERROR(INDEX(Productos!$G$5:$G$104,MATCH(C353,Productos!$B$5:$B$104,0)),0))</f>
        <v/>
      </c>
      <c r="H353" s="26"/>
      <c r="I353" s="11" t="str">
        <f aca="false">IF(C353="","",F353*G353*(1-H353))</f>
        <v/>
      </c>
      <c r="J353" s="20"/>
      <c r="K353" s="20"/>
      <c r="L353" s="11" t="str">
        <f aca="false">IF(C353="","",F353*IFERROR(INDEX(Productos!$F$5:$F$104,MATCH(C353,Productos!$B$5:$B$104,0)),0))</f>
        <v/>
      </c>
      <c r="M353" s="11" t="str">
        <f aca="false">IF(C353="","",I353-L353)</f>
        <v/>
      </c>
    </row>
    <row r="354" customFormat="false" ht="15" hidden="false" customHeight="false" outlineLevel="0" collapsed="false">
      <c r="A354" s="25"/>
      <c r="B354" s="20"/>
      <c r="C354" s="20"/>
      <c r="D354" s="7" t="str">
        <f aca="false">IF(C354="","",IFERROR(INDEX(Productos!$A$5:$A$104,MATCH(C354,Productos!$B$5:$B$104,0)),""))</f>
        <v/>
      </c>
      <c r="E354" s="7" t="str">
        <f aca="false">IF(C354="","",IFERROR(INDEX(Productos!$C$5:$C$104,MATCH(C354,Productos!$B$5:$B$104,0)),""))</f>
        <v/>
      </c>
      <c r="F354" s="21"/>
      <c r="G354" s="11" t="str">
        <f aca="false">IF(C354="","",IFERROR(INDEX(Productos!$G$5:$G$104,MATCH(C354,Productos!$B$5:$B$104,0)),0))</f>
        <v/>
      </c>
      <c r="H354" s="26"/>
      <c r="I354" s="11" t="str">
        <f aca="false">IF(C354="","",F354*G354*(1-H354))</f>
        <v/>
      </c>
      <c r="J354" s="20"/>
      <c r="K354" s="20"/>
      <c r="L354" s="11" t="str">
        <f aca="false">IF(C354="","",F354*IFERROR(INDEX(Productos!$F$5:$F$104,MATCH(C354,Productos!$B$5:$B$104,0)),0))</f>
        <v/>
      </c>
      <c r="M354" s="11" t="str">
        <f aca="false">IF(C354="","",I354-L354)</f>
        <v/>
      </c>
    </row>
    <row r="355" customFormat="false" ht="15" hidden="false" customHeight="false" outlineLevel="0" collapsed="false">
      <c r="A355" s="25"/>
      <c r="B355" s="20"/>
      <c r="C355" s="20"/>
      <c r="D355" s="7" t="str">
        <f aca="false">IF(C355="","",IFERROR(INDEX(Productos!$A$5:$A$104,MATCH(C355,Productos!$B$5:$B$104,0)),""))</f>
        <v/>
      </c>
      <c r="E355" s="7" t="str">
        <f aca="false">IF(C355="","",IFERROR(INDEX(Productos!$C$5:$C$104,MATCH(C355,Productos!$B$5:$B$104,0)),""))</f>
        <v/>
      </c>
      <c r="F355" s="21"/>
      <c r="G355" s="11" t="str">
        <f aca="false">IF(C355="","",IFERROR(INDEX(Productos!$G$5:$G$104,MATCH(C355,Productos!$B$5:$B$104,0)),0))</f>
        <v/>
      </c>
      <c r="H355" s="26"/>
      <c r="I355" s="11" t="str">
        <f aca="false">IF(C355="","",F355*G355*(1-H355))</f>
        <v/>
      </c>
      <c r="J355" s="20"/>
      <c r="K355" s="20"/>
      <c r="L355" s="11" t="str">
        <f aca="false">IF(C355="","",F355*IFERROR(INDEX(Productos!$F$5:$F$104,MATCH(C355,Productos!$B$5:$B$104,0)),0))</f>
        <v/>
      </c>
      <c r="M355" s="11" t="str">
        <f aca="false">IF(C355="","",I355-L355)</f>
        <v/>
      </c>
    </row>
    <row r="356" customFormat="false" ht="15" hidden="false" customHeight="false" outlineLevel="0" collapsed="false">
      <c r="A356" s="25"/>
      <c r="B356" s="20"/>
      <c r="C356" s="20"/>
      <c r="D356" s="7" t="str">
        <f aca="false">IF(C356="","",IFERROR(INDEX(Productos!$A$5:$A$104,MATCH(C356,Productos!$B$5:$B$104,0)),""))</f>
        <v/>
      </c>
      <c r="E356" s="7" t="str">
        <f aca="false">IF(C356="","",IFERROR(INDEX(Productos!$C$5:$C$104,MATCH(C356,Productos!$B$5:$B$104,0)),""))</f>
        <v/>
      </c>
      <c r="F356" s="21"/>
      <c r="G356" s="11" t="str">
        <f aca="false">IF(C356="","",IFERROR(INDEX(Productos!$G$5:$G$104,MATCH(C356,Productos!$B$5:$B$104,0)),0))</f>
        <v/>
      </c>
      <c r="H356" s="26"/>
      <c r="I356" s="11" t="str">
        <f aca="false">IF(C356="","",F356*G356*(1-H356))</f>
        <v/>
      </c>
      <c r="J356" s="20"/>
      <c r="K356" s="20"/>
      <c r="L356" s="11" t="str">
        <f aca="false">IF(C356="","",F356*IFERROR(INDEX(Productos!$F$5:$F$104,MATCH(C356,Productos!$B$5:$B$104,0)),0))</f>
        <v/>
      </c>
      <c r="M356" s="11" t="str">
        <f aca="false">IF(C356="","",I356-L356)</f>
        <v/>
      </c>
    </row>
    <row r="357" customFormat="false" ht="15" hidden="false" customHeight="false" outlineLevel="0" collapsed="false">
      <c r="A357" s="25"/>
      <c r="B357" s="20"/>
      <c r="C357" s="20"/>
      <c r="D357" s="7" t="str">
        <f aca="false">IF(C357="","",IFERROR(INDEX(Productos!$A$5:$A$104,MATCH(C357,Productos!$B$5:$B$104,0)),""))</f>
        <v/>
      </c>
      <c r="E357" s="7" t="str">
        <f aca="false">IF(C357="","",IFERROR(INDEX(Productos!$C$5:$C$104,MATCH(C357,Productos!$B$5:$B$104,0)),""))</f>
        <v/>
      </c>
      <c r="F357" s="21"/>
      <c r="G357" s="11" t="str">
        <f aca="false">IF(C357="","",IFERROR(INDEX(Productos!$G$5:$G$104,MATCH(C357,Productos!$B$5:$B$104,0)),0))</f>
        <v/>
      </c>
      <c r="H357" s="26"/>
      <c r="I357" s="11" t="str">
        <f aca="false">IF(C357="","",F357*G357*(1-H357))</f>
        <v/>
      </c>
      <c r="J357" s="20"/>
      <c r="K357" s="20"/>
      <c r="L357" s="11" t="str">
        <f aca="false">IF(C357="","",F357*IFERROR(INDEX(Productos!$F$5:$F$104,MATCH(C357,Productos!$B$5:$B$104,0)),0))</f>
        <v/>
      </c>
      <c r="M357" s="11" t="str">
        <f aca="false">IF(C357="","",I357-L357)</f>
        <v/>
      </c>
    </row>
    <row r="358" customFormat="false" ht="15" hidden="false" customHeight="false" outlineLevel="0" collapsed="false">
      <c r="A358" s="25"/>
      <c r="B358" s="20"/>
      <c r="C358" s="20"/>
      <c r="D358" s="7" t="str">
        <f aca="false">IF(C358="","",IFERROR(INDEX(Productos!$A$5:$A$104,MATCH(C358,Productos!$B$5:$B$104,0)),""))</f>
        <v/>
      </c>
      <c r="E358" s="7" t="str">
        <f aca="false">IF(C358="","",IFERROR(INDEX(Productos!$C$5:$C$104,MATCH(C358,Productos!$B$5:$B$104,0)),""))</f>
        <v/>
      </c>
      <c r="F358" s="21"/>
      <c r="G358" s="11" t="str">
        <f aca="false">IF(C358="","",IFERROR(INDEX(Productos!$G$5:$G$104,MATCH(C358,Productos!$B$5:$B$104,0)),0))</f>
        <v/>
      </c>
      <c r="H358" s="26"/>
      <c r="I358" s="11" t="str">
        <f aca="false">IF(C358="","",F358*G358*(1-H358))</f>
        <v/>
      </c>
      <c r="J358" s="20"/>
      <c r="K358" s="20"/>
      <c r="L358" s="11" t="str">
        <f aca="false">IF(C358="","",F358*IFERROR(INDEX(Productos!$F$5:$F$104,MATCH(C358,Productos!$B$5:$B$104,0)),0))</f>
        <v/>
      </c>
      <c r="M358" s="11" t="str">
        <f aca="false">IF(C358="","",I358-L358)</f>
        <v/>
      </c>
    </row>
    <row r="359" customFormat="false" ht="15" hidden="false" customHeight="false" outlineLevel="0" collapsed="false">
      <c r="A359" s="25"/>
      <c r="B359" s="20"/>
      <c r="C359" s="20"/>
      <c r="D359" s="7" t="str">
        <f aca="false">IF(C359="","",IFERROR(INDEX(Productos!$A$5:$A$104,MATCH(C359,Productos!$B$5:$B$104,0)),""))</f>
        <v/>
      </c>
      <c r="E359" s="7" t="str">
        <f aca="false">IF(C359="","",IFERROR(INDEX(Productos!$C$5:$C$104,MATCH(C359,Productos!$B$5:$B$104,0)),""))</f>
        <v/>
      </c>
      <c r="F359" s="21"/>
      <c r="G359" s="11" t="str">
        <f aca="false">IF(C359="","",IFERROR(INDEX(Productos!$G$5:$G$104,MATCH(C359,Productos!$B$5:$B$104,0)),0))</f>
        <v/>
      </c>
      <c r="H359" s="26"/>
      <c r="I359" s="11" t="str">
        <f aca="false">IF(C359="","",F359*G359*(1-H359))</f>
        <v/>
      </c>
      <c r="J359" s="20"/>
      <c r="K359" s="20"/>
      <c r="L359" s="11" t="str">
        <f aca="false">IF(C359="","",F359*IFERROR(INDEX(Productos!$F$5:$F$104,MATCH(C359,Productos!$B$5:$B$104,0)),0))</f>
        <v/>
      </c>
      <c r="M359" s="11" t="str">
        <f aca="false">IF(C359="","",I359-L359)</f>
        <v/>
      </c>
    </row>
    <row r="360" customFormat="false" ht="15" hidden="false" customHeight="false" outlineLevel="0" collapsed="false">
      <c r="A360" s="25"/>
      <c r="B360" s="20"/>
      <c r="C360" s="20"/>
      <c r="D360" s="7" t="str">
        <f aca="false">IF(C360="","",IFERROR(INDEX(Productos!$A$5:$A$104,MATCH(C360,Productos!$B$5:$B$104,0)),""))</f>
        <v/>
      </c>
      <c r="E360" s="7" t="str">
        <f aca="false">IF(C360="","",IFERROR(INDEX(Productos!$C$5:$C$104,MATCH(C360,Productos!$B$5:$B$104,0)),""))</f>
        <v/>
      </c>
      <c r="F360" s="21"/>
      <c r="G360" s="11" t="str">
        <f aca="false">IF(C360="","",IFERROR(INDEX(Productos!$G$5:$G$104,MATCH(C360,Productos!$B$5:$B$104,0)),0))</f>
        <v/>
      </c>
      <c r="H360" s="26"/>
      <c r="I360" s="11" t="str">
        <f aca="false">IF(C360="","",F360*G360*(1-H360))</f>
        <v/>
      </c>
      <c r="J360" s="20"/>
      <c r="K360" s="20"/>
      <c r="L360" s="11" t="str">
        <f aca="false">IF(C360="","",F360*IFERROR(INDEX(Productos!$F$5:$F$104,MATCH(C360,Productos!$B$5:$B$104,0)),0))</f>
        <v/>
      </c>
      <c r="M360" s="11" t="str">
        <f aca="false">IF(C360="","",I360-L360)</f>
        <v/>
      </c>
    </row>
    <row r="361" customFormat="false" ht="15" hidden="false" customHeight="false" outlineLevel="0" collapsed="false">
      <c r="A361" s="25"/>
      <c r="B361" s="20"/>
      <c r="C361" s="20"/>
      <c r="D361" s="7" t="str">
        <f aca="false">IF(C361="","",IFERROR(INDEX(Productos!$A$5:$A$104,MATCH(C361,Productos!$B$5:$B$104,0)),""))</f>
        <v/>
      </c>
      <c r="E361" s="7" t="str">
        <f aca="false">IF(C361="","",IFERROR(INDEX(Productos!$C$5:$C$104,MATCH(C361,Productos!$B$5:$B$104,0)),""))</f>
        <v/>
      </c>
      <c r="F361" s="21"/>
      <c r="G361" s="11" t="str">
        <f aca="false">IF(C361="","",IFERROR(INDEX(Productos!$G$5:$G$104,MATCH(C361,Productos!$B$5:$B$104,0)),0))</f>
        <v/>
      </c>
      <c r="H361" s="26"/>
      <c r="I361" s="11" t="str">
        <f aca="false">IF(C361="","",F361*G361*(1-H361))</f>
        <v/>
      </c>
      <c r="J361" s="20"/>
      <c r="K361" s="20"/>
      <c r="L361" s="11" t="str">
        <f aca="false">IF(C361="","",F361*IFERROR(INDEX(Productos!$F$5:$F$104,MATCH(C361,Productos!$B$5:$B$104,0)),0))</f>
        <v/>
      </c>
      <c r="M361" s="11" t="str">
        <f aca="false">IF(C361="","",I361-L361)</f>
        <v/>
      </c>
    </row>
    <row r="362" customFormat="false" ht="15" hidden="false" customHeight="false" outlineLevel="0" collapsed="false">
      <c r="A362" s="25"/>
      <c r="B362" s="20"/>
      <c r="C362" s="20"/>
      <c r="D362" s="7" t="str">
        <f aca="false">IF(C362="","",IFERROR(INDEX(Productos!$A$5:$A$104,MATCH(C362,Productos!$B$5:$B$104,0)),""))</f>
        <v/>
      </c>
      <c r="E362" s="7" t="str">
        <f aca="false">IF(C362="","",IFERROR(INDEX(Productos!$C$5:$C$104,MATCH(C362,Productos!$B$5:$B$104,0)),""))</f>
        <v/>
      </c>
      <c r="F362" s="21"/>
      <c r="G362" s="11" t="str">
        <f aca="false">IF(C362="","",IFERROR(INDEX(Productos!$G$5:$G$104,MATCH(C362,Productos!$B$5:$B$104,0)),0))</f>
        <v/>
      </c>
      <c r="H362" s="26"/>
      <c r="I362" s="11" t="str">
        <f aca="false">IF(C362="","",F362*G362*(1-H362))</f>
        <v/>
      </c>
      <c r="J362" s="20"/>
      <c r="K362" s="20"/>
      <c r="L362" s="11" t="str">
        <f aca="false">IF(C362="","",F362*IFERROR(INDEX(Productos!$F$5:$F$104,MATCH(C362,Productos!$B$5:$B$104,0)),0))</f>
        <v/>
      </c>
      <c r="M362" s="11" t="str">
        <f aca="false">IF(C362="","",I362-L362)</f>
        <v/>
      </c>
    </row>
    <row r="363" customFormat="false" ht="15" hidden="false" customHeight="false" outlineLevel="0" collapsed="false">
      <c r="A363" s="25"/>
      <c r="B363" s="20"/>
      <c r="C363" s="20"/>
      <c r="D363" s="7" t="str">
        <f aca="false">IF(C363="","",IFERROR(INDEX(Productos!$A$5:$A$104,MATCH(C363,Productos!$B$5:$B$104,0)),""))</f>
        <v/>
      </c>
      <c r="E363" s="7" t="str">
        <f aca="false">IF(C363="","",IFERROR(INDEX(Productos!$C$5:$C$104,MATCH(C363,Productos!$B$5:$B$104,0)),""))</f>
        <v/>
      </c>
      <c r="F363" s="21"/>
      <c r="G363" s="11" t="str">
        <f aca="false">IF(C363="","",IFERROR(INDEX(Productos!$G$5:$G$104,MATCH(C363,Productos!$B$5:$B$104,0)),0))</f>
        <v/>
      </c>
      <c r="H363" s="26"/>
      <c r="I363" s="11" t="str">
        <f aca="false">IF(C363="","",F363*G363*(1-H363))</f>
        <v/>
      </c>
      <c r="J363" s="20"/>
      <c r="K363" s="20"/>
      <c r="L363" s="11" t="str">
        <f aca="false">IF(C363="","",F363*IFERROR(INDEX(Productos!$F$5:$F$104,MATCH(C363,Productos!$B$5:$B$104,0)),0))</f>
        <v/>
      </c>
      <c r="M363" s="11" t="str">
        <f aca="false">IF(C363="","",I363-L363)</f>
        <v/>
      </c>
    </row>
    <row r="364" customFormat="false" ht="15" hidden="false" customHeight="false" outlineLevel="0" collapsed="false">
      <c r="A364" s="25"/>
      <c r="B364" s="20"/>
      <c r="C364" s="20"/>
      <c r="D364" s="7" t="str">
        <f aca="false">IF(C364="","",IFERROR(INDEX(Productos!$A$5:$A$104,MATCH(C364,Productos!$B$5:$B$104,0)),""))</f>
        <v/>
      </c>
      <c r="E364" s="7" t="str">
        <f aca="false">IF(C364="","",IFERROR(INDEX(Productos!$C$5:$C$104,MATCH(C364,Productos!$B$5:$B$104,0)),""))</f>
        <v/>
      </c>
      <c r="F364" s="21"/>
      <c r="G364" s="11" t="str">
        <f aca="false">IF(C364="","",IFERROR(INDEX(Productos!$G$5:$G$104,MATCH(C364,Productos!$B$5:$B$104,0)),0))</f>
        <v/>
      </c>
      <c r="H364" s="26"/>
      <c r="I364" s="11" t="str">
        <f aca="false">IF(C364="","",F364*G364*(1-H364))</f>
        <v/>
      </c>
      <c r="J364" s="20"/>
      <c r="K364" s="20"/>
      <c r="L364" s="11" t="str">
        <f aca="false">IF(C364="","",F364*IFERROR(INDEX(Productos!$F$5:$F$104,MATCH(C364,Productos!$B$5:$B$104,0)),0))</f>
        <v/>
      </c>
      <c r="M364" s="11" t="str">
        <f aca="false">IF(C364="","",I364-L364)</f>
        <v/>
      </c>
    </row>
    <row r="365" customFormat="false" ht="15" hidden="false" customHeight="false" outlineLevel="0" collapsed="false">
      <c r="A365" s="25"/>
      <c r="B365" s="20"/>
      <c r="C365" s="20"/>
      <c r="D365" s="7" t="str">
        <f aca="false">IF(C365="","",IFERROR(INDEX(Productos!$A$5:$A$104,MATCH(C365,Productos!$B$5:$B$104,0)),""))</f>
        <v/>
      </c>
      <c r="E365" s="7" t="str">
        <f aca="false">IF(C365="","",IFERROR(INDEX(Productos!$C$5:$C$104,MATCH(C365,Productos!$B$5:$B$104,0)),""))</f>
        <v/>
      </c>
      <c r="F365" s="21"/>
      <c r="G365" s="11" t="str">
        <f aca="false">IF(C365="","",IFERROR(INDEX(Productos!$G$5:$G$104,MATCH(C365,Productos!$B$5:$B$104,0)),0))</f>
        <v/>
      </c>
      <c r="H365" s="26"/>
      <c r="I365" s="11" t="str">
        <f aca="false">IF(C365="","",F365*G365*(1-H365))</f>
        <v/>
      </c>
      <c r="J365" s="20"/>
      <c r="K365" s="20"/>
      <c r="L365" s="11" t="str">
        <f aca="false">IF(C365="","",F365*IFERROR(INDEX(Productos!$F$5:$F$104,MATCH(C365,Productos!$B$5:$B$104,0)),0))</f>
        <v/>
      </c>
      <c r="M365" s="11" t="str">
        <f aca="false">IF(C365="","",I365-L365)</f>
        <v/>
      </c>
    </row>
    <row r="366" customFormat="false" ht="15" hidden="false" customHeight="false" outlineLevel="0" collapsed="false">
      <c r="A366" s="25"/>
      <c r="B366" s="20"/>
      <c r="C366" s="20"/>
      <c r="D366" s="7" t="str">
        <f aca="false">IF(C366="","",IFERROR(INDEX(Productos!$A$5:$A$104,MATCH(C366,Productos!$B$5:$B$104,0)),""))</f>
        <v/>
      </c>
      <c r="E366" s="7" t="str">
        <f aca="false">IF(C366="","",IFERROR(INDEX(Productos!$C$5:$C$104,MATCH(C366,Productos!$B$5:$B$104,0)),""))</f>
        <v/>
      </c>
      <c r="F366" s="21"/>
      <c r="G366" s="11" t="str">
        <f aca="false">IF(C366="","",IFERROR(INDEX(Productos!$G$5:$G$104,MATCH(C366,Productos!$B$5:$B$104,0)),0))</f>
        <v/>
      </c>
      <c r="H366" s="26"/>
      <c r="I366" s="11" t="str">
        <f aca="false">IF(C366="","",F366*G366*(1-H366))</f>
        <v/>
      </c>
      <c r="J366" s="20"/>
      <c r="K366" s="20"/>
      <c r="L366" s="11" t="str">
        <f aca="false">IF(C366="","",F366*IFERROR(INDEX(Productos!$F$5:$F$104,MATCH(C366,Productos!$B$5:$B$104,0)),0))</f>
        <v/>
      </c>
      <c r="M366" s="11" t="str">
        <f aca="false">IF(C366="","",I366-L366)</f>
        <v/>
      </c>
    </row>
    <row r="367" customFormat="false" ht="15" hidden="false" customHeight="false" outlineLevel="0" collapsed="false">
      <c r="A367" s="25"/>
      <c r="B367" s="20"/>
      <c r="C367" s="20"/>
      <c r="D367" s="7" t="str">
        <f aca="false">IF(C367="","",IFERROR(INDEX(Productos!$A$5:$A$104,MATCH(C367,Productos!$B$5:$B$104,0)),""))</f>
        <v/>
      </c>
      <c r="E367" s="7" t="str">
        <f aca="false">IF(C367="","",IFERROR(INDEX(Productos!$C$5:$C$104,MATCH(C367,Productos!$B$5:$B$104,0)),""))</f>
        <v/>
      </c>
      <c r="F367" s="21"/>
      <c r="G367" s="11" t="str">
        <f aca="false">IF(C367="","",IFERROR(INDEX(Productos!$G$5:$G$104,MATCH(C367,Productos!$B$5:$B$104,0)),0))</f>
        <v/>
      </c>
      <c r="H367" s="26"/>
      <c r="I367" s="11" t="str">
        <f aca="false">IF(C367="","",F367*G367*(1-H367))</f>
        <v/>
      </c>
      <c r="J367" s="20"/>
      <c r="K367" s="20"/>
      <c r="L367" s="11" t="str">
        <f aca="false">IF(C367="","",F367*IFERROR(INDEX(Productos!$F$5:$F$104,MATCH(C367,Productos!$B$5:$B$104,0)),0))</f>
        <v/>
      </c>
      <c r="M367" s="11" t="str">
        <f aca="false">IF(C367="","",I367-L367)</f>
        <v/>
      </c>
    </row>
    <row r="368" customFormat="false" ht="15" hidden="false" customHeight="false" outlineLevel="0" collapsed="false">
      <c r="A368" s="25"/>
      <c r="B368" s="20"/>
      <c r="C368" s="20"/>
      <c r="D368" s="7" t="str">
        <f aca="false">IF(C368="","",IFERROR(INDEX(Productos!$A$5:$A$104,MATCH(C368,Productos!$B$5:$B$104,0)),""))</f>
        <v/>
      </c>
      <c r="E368" s="7" t="str">
        <f aca="false">IF(C368="","",IFERROR(INDEX(Productos!$C$5:$C$104,MATCH(C368,Productos!$B$5:$B$104,0)),""))</f>
        <v/>
      </c>
      <c r="F368" s="21"/>
      <c r="G368" s="11" t="str">
        <f aca="false">IF(C368="","",IFERROR(INDEX(Productos!$G$5:$G$104,MATCH(C368,Productos!$B$5:$B$104,0)),0))</f>
        <v/>
      </c>
      <c r="H368" s="26"/>
      <c r="I368" s="11" t="str">
        <f aca="false">IF(C368="","",F368*G368*(1-H368))</f>
        <v/>
      </c>
      <c r="J368" s="20"/>
      <c r="K368" s="20"/>
      <c r="L368" s="11" t="str">
        <f aca="false">IF(C368="","",F368*IFERROR(INDEX(Productos!$F$5:$F$104,MATCH(C368,Productos!$B$5:$B$104,0)),0))</f>
        <v/>
      </c>
      <c r="M368" s="11" t="str">
        <f aca="false">IF(C368="","",I368-L368)</f>
        <v/>
      </c>
    </row>
    <row r="369" customFormat="false" ht="15" hidden="false" customHeight="false" outlineLevel="0" collapsed="false">
      <c r="A369" s="25"/>
      <c r="B369" s="20"/>
      <c r="C369" s="20"/>
      <c r="D369" s="7" t="str">
        <f aca="false">IF(C369="","",IFERROR(INDEX(Productos!$A$5:$A$104,MATCH(C369,Productos!$B$5:$B$104,0)),""))</f>
        <v/>
      </c>
      <c r="E369" s="7" t="str">
        <f aca="false">IF(C369="","",IFERROR(INDEX(Productos!$C$5:$C$104,MATCH(C369,Productos!$B$5:$B$104,0)),""))</f>
        <v/>
      </c>
      <c r="F369" s="21"/>
      <c r="G369" s="11" t="str">
        <f aca="false">IF(C369="","",IFERROR(INDEX(Productos!$G$5:$G$104,MATCH(C369,Productos!$B$5:$B$104,0)),0))</f>
        <v/>
      </c>
      <c r="H369" s="26"/>
      <c r="I369" s="11" t="str">
        <f aca="false">IF(C369="","",F369*G369*(1-H369))</f>
        <v/>
      </c>
      <c r="J369" s="20"/>
      <c r="K369" s="20"/>
      <c r="L369" s="11" t="str">
        <f aca="false">IF(C369="","",F369*IFERROR(INDEX(Productos!$F$5:$F$104,MATCH(C369,Productos!$B$5:$B$104,0)),0))</f>
        <v/>
      </c>
      <c r="M369" s="11" t="str">
        <f aca="false">IF(C369="","",I369-L369)</f>
        <v/>
      </c>
    </row>
    <row r="370" customFormat="false" ht="15" hidden="false" customHeight="false" outlineLevel="0" collapsed="false">
      <c r="A370" s="25"/>
      <c r="B370" s="20"/>
      <c r="C370" s="20"/>
      <c r="D370" s="7" t="str">
        <f aca="false">IF(C370="","",IFERROR(INDEX(Productos!$A$5:$A$104,MATCH(C370,Productos!$B$5:$B$104,0)),""))</f>
        <v/>
      </c>
      <c r="E370" s="7" t="str">
        <f aca="false">IF(C370="","",IFERROR(INDEX(Productos!$C$5:$C$104,MATCH(C370,Productos!$B$5:$B$104,0)),""))</f>
        <v/>
      </c>
      <c r="F370" s="21"/>
      <c r="G370" s="11" t="str">
        <f aca="false">IF(C370="","",IFERROR(INDEX(Productos!$G$5:$G$104,MATCH(C370,Productos!$B$5:$B$104,0)),0))</f>
        <v/>
      </c>
      <c r="H370" s="26"/>
      <c r="I370" s="11" t="str">
        <f aca="false">IF(C370="","",F370*G370*(1-H370))</f>
        <v/>
      </c>
      <c r="J370" s="20"/>
      <c r="K370" s="20"/>
      <c r="L370" s="11" t="str">
        <f aca="false">IF(C370="","",F370*IFERROR(INDEX(Productos!$F$5:$F$104,MATCH(C370,Productos!$B$5:$B$104,0)),0))</f>
        <v/>
      </c>
      <c r="M370" s="11" t="str">
        <f aca="false">IF(C370="","",I370-L370)</f>
        <v/>
      </c>
    </row>
    <row r="371" customFormat="false" ht="15" hidden="false" customHeight="false" outlineLevel="0" collapsed="false">
      <c r="A371" s="25"/>
      <c r="B371" s="20"/>
      <c r="C371" s="20"/>
      <c r="D371" s="7" t="str">
        <f aca="false">IF(C371="","",IFERROR(INDEX(Productos!$A$5:$A$104,MATCH(C371,Productos!$B$5:$B$104,0)),""))</f>
        <v/>
      </c>
      <c r="E371" s="7" t="str">
        <f aca="false">IF(C371="","",IFERROR(INDEX(Productos!$C$5:$C$104,MATCH(C371,Productos!$B$5:$B$104,0)),""))</f>
        <v/>
      </c>
      <c r="F371" s="21"/>
      <c r="G371" s="11" t="str">
        <f aca="false">IF(C371="","",IFERROR(INDEX(Productos!$G$5:$G$104,MATCH(C371,Productos!$B$5:$B$104,0)),0))</f>
        <v/>
      </c>
      <c r="H371" s="26"/>
      <c r="I371" s="11" t="str">
        <f aca="false">IF(C371="","",F371*G371*(1-H371))</f>
        <v/>
      </c>
      <c r="J371" s="20"/>
      <c r="K371" s="20"/>
      <c r="L371" s="11" t="str">
        <f aca="false">IF(C371="","",F371*IFERROR(INDEX(Productos!$F$5:$F$104,MATCH(C371,Productos!$B$5:$B$104,0)),0))</f>
        <v/>
      </c>
      <c r="M371" s="11" t="str">
        <f aca="false">IF(C371="","",I371-L371)</f>
        <v/>
      </c>
    </row>
    <row r="372" customFormat="false" ht="15" hidden="false" customHeight="false" outlineLevel="0" collapsed="false">
      <c r="A372" s="25"/>
      <c r="B372" s="20"/>
      <c r="C372" s="20"/>
      <c r="D372" s="7" t="str">
        <f aca="false">IF(C372="","",IFERROR(INDEX(Productos!$A$5:$A$104,MATCH(C372,Productos!$B$5:$B$104,0)),""))</f>
        <v/>
      </c>
      <c r="E372" s="7" t="str">
        <f aca="false">IF(C372="","",IFERROR(INDEX(Productos!$C$5:$C$104,MATCH(C372,Productos!$B$5:$B$104,0)),""))</f>
        <v/>
      </c>
      <c r="F372" s="21"/>
      <c r="G372" s="11" t="str">
        <f aca="false">IF(C372="","",IFERROR(INDEX(Productos!$G$5:$G$104,MATCH(C372,Productos!$B$5:$B$104,0)),0))</f>
        <v/>
      </c>
      <c r="H372" s="26"/>
      <c r="I372" s="11" t="str">
        <f aca="false">IF(C372="","",F372*G372*(1-H372))</f>
        <v/>
      </c>
      <c r="J372" s="20"/>
      <c r="K372" s="20"/>
      <c r="L372" s="11" t="str">
        <f aca="false">IF(C372="","",F372*IFERROR(INDEX(Productos!$F$5:$F$104,MATCH(C372,Productos!$B$5:$B$104,0)),0))</f>
        <v/>
      </c>
      <c r="M372" s="11" t="str">
        <f aca="false">IF(C372="","",I372-L372)</f>
        <v/>
      </c>
    </row>
    <row r="373" customFormat="false" ht="15" hidden="false" customHeight="false" outlineLevel="0" collapsed="false">
      <c r="A373" s="25"/>
      <c r="B373" s="20"/>
      <c r="C373" s="20"/>
      <c r="D373" s="7" t="str">
        <f aca="false">IF(C373="","",IFERROR(INDEX(Productos!$A$5:$A$104,MATCH(C373,Productos!$B$5:$B$104,0)),""))</f>
        <v/>
      </c>
      <c r="E373" s="7" t="str">
        <f aca="false">IF(C373="","",IFERROR(INDEX(Productos!$C$5:$C$104,MATCH(C373,Productos!$B$5:$B$104,0)),""))</f>
        <v/>
      </c>
      <c r="F373" s="21"/>
      <c r="G373" s="11" t="str">
        <f aca="false">IF(C373="","",IFERROR(INDEX(Productos!$G$5:$G$104,MATCH(C373,Productos!$B$5:$B$104,0)),0))</f>
        <v/>
      </c>
      <c r="H373" s="26"/>
      <c r="I373" s="11" t="str">
        <f aca="false">IF(C373="","",F373*G373*(1-H373))</f>
        <v/>
      </c>
      <c r="J373" s="20"/>
      <c r="K373" s="20"/>
      <c r="L373" s="11" t="str">
        <f aca="false">IF(C373="","",F373*IFERROR(INDEX(Productos!$F$5:$F$104,MATCH(C373,Productos!$B$5:$B$104,0)),0))</f>
        <v/>
      </c>
      <c r="M373" s="11" t="str">
        <f aca="false">IF(C373="","",I373-L373)</f>
        <v/>
      </c>
    </row>
    <row r="374" customFormat="false" ht="15" hidden="false" customHeight="false" outlineLevel="0" collapsed="false">
      <c r="A374" s="25"/>
      <c r="B374" s="20"/>
      <c r="C374" s="20"/>
      <c r="D374" s="7" t="str">
        <f aca="false">IF(C374="","",IFERROR(INDEX(Productos!$A$5:$A$104,MATCH(C374,Productos!$B$5:$B$104,0)),""))</f>
        <v/>
      </c>
      <c r="E374" s="7" t="str">
        <f aca="false">IF(C374="","",IFERROR(INDEX(Productos!$C$5:$C$104,MATCH(C374,Productos!$B$5:$B$104,0)),""))</f>
        <v/>
      </c>
      <c r="F374" s="21"/>
      <c r="G374" s="11" t="str">
        <f aca="false">IF(C374="","",IFERROR(INDEX(Productos!$G$5:$G$104,MATCH(C374,Productos!$B$5:$B$104,0)),0))</f>
        <v/>
      </c>
      <c r="H374" s="26"/>
      <c r="I374" s="11" t="str">
        <f aca="false">IF(C374="","",F374*G374*(1-H374))</f>
        <v/>
      </c>
      <c r="J374" s="20"/>
      <c r="K374" s="20"/>
      <c r="L374" s="11" t="str">
        <f aca="false">IF(C374="","",F374*IFERROR(INDEX(Productos!$F$5:$F$104,MATCH(C374,Productos!$B$5:$B$104,0)),0))</f>
        <v/>
      </c>
      <c r="M374" s="11" t="str">
        <f aca="false">IF(C374="","",I374-L374)</f>
        <v/>
      </c>
    </row>
    <row r="375" customFormat="false" ht="15" hidden="false" customHeight="false" outlineLevel="0" collapsed="false">
      <c r="A375" s="25"/>
      <c r="B375" s="20"/>
      <c r="C375" s="20"/>
      <c r="D375" s="7" t="str">
        <f aca="false">IF(C375="","",IFERROR(INDEX(Productos!$A$5:$A$104,MATCH(C375,Productos!$B$5:$B$104,0)),""))</f>
        <v/>
      </c>
      <c r="E375" s="7" t="str">
        <f aca="false">IF(C375="","",IFERROR(INDEX(Productos!$C$5:$C$104,MATCH(C375,Productos!$B$5:$B$104,0)),""))</f>
        <v/>
      </c>
      <c r="F375" s="21"/>
      <c r="G375" s="11" t="str">
        <f aca="false">IF(C375="","",IFERROR(INDEX(Productos!$G$5:$G$104,MATCH(C375,Productos!$B$5:$B$104,0)),0))</f>
        <v/>
      </c>
      <c r="H375" s="26"/>
      <c r="I375" s="11" t="str">
        <f aca="false">IF(C375="","",F375*G375*(1-H375))</f>
        <v/>
      </c>
      <c r="J375" s="20"/>
      <c r="K375" s="20"/>
      <c r="L375" s="11" t="str">
        <f aca="false">IF(C375="","",F375*IFERROR(INDEX(Productos!$F$5:$F$104,MATCH(C375,Productos!$B$5:$B$104,0)),0))</f>
        <v/>
      </c>
      <c r="M375" s="11" t="str">
        <f aca="false">IF(C375="","",I375-L375)</f>
        <v/>
      </c>
    </row>
    <row r="376" customFormat="false" ht="15" hidden="false" customHeight="false" outlineLevel="0" collapsed="false">
      <c r="A376" s="25"/>
      <c r="B376" s="20"/>
      <c r="C376" s="20"/>
      <c r="D376" s="7" t="str">
        <f aca="false">IF(C376="","",IFERROR(INDEX(Productos!$A$5:$A$104,MATCH(C376,Productos!$B$5:$B$104,0)),""))</f>
        <v/>
      </c>
      <c r="E376" s="7" t="str">
        <f aca="false">IF(C376="","",IFERROR(INDEX(Productos!$C$5:$C$104,MATCH(C376,Productos!$B$5:$B$104,0)),""))</f>
        <v/>
      </c>
      <c r="F376" s="21"/>
      <c r="G376" s="11" t="str">
        <f aca="false">IF(C376="","",IFERROR(INDEX(Productos!$G$5:$G$104,MATCH(C376,Productos!$B$5:$B$104,0)),0))</f>
        <v/>
      </c>
      <c r="H376" s="26"/>
      <c r="I376" s="11" t="str">
        <f aca="false">IF(C376="","",F376*G376*(1-H376))</f>
        <v/>
      </c>
      <c r="J376" s="20"/>
      <c r="K376" s="20"/>
      <c r="L376" s="11" t="str">
        <f aca="false">IF(C376="","",F376*IFERROR(INDEX(Productos!$F$5:$F$104,MATCH(C376,Productos!$B$5:$B$104,0)),0))</f>
        <v/>
      </c>
      <c r="M376" s="11" t="str">
        <f aca="false">IF(C376="","",I376-L376)</f>
        <v/>
      </c>
    </row>
    <row r="377" customFormat="false" ht="15" hidden="false" customHeight="false" outlineLevel="0" collapsed="false">
      <c r="A377" s="25"/>
      <c r="B377" s="20"/>
      <c r="C377" s="20"/>
      <c r="D377" s="7" t="str">
        <f aca="false">IF(C377="","",IFERROR(INDEX(Productos!$A$5:$A$104,MATCH(C377,Productos!$B$5:$B$104,0)),""))</f>
        <v/>
      </c>
      <c r="E377" s="7" t="str">
        <f aca="false">IF(C377="","",IFERROR(INDEX(Productos!$C$5:$C$104,MATCH(C377,Productos!$B$5:$B$104,0)),""))</f>
        <v/>
      </c>
      <c r="F377" s="21"/>
      <c r="G377" s="11" t="str">
        <f aca="false">IF(C377="","",IFERROR(INDEX(Productos!$G$5:$G$104,MATCH(C377,Productos!$B$5:$B$104,0)),0))</f>
        <v/>
      </c>
      <c r="H377" s="26"/>
      <c r="I377" s="11" t="str">
        <f aca="false">IF(C377="","",F377*G377*(1-H377))</f>
        <v/>
      </c>
      <c r="J377" s="20"/>
      <c r="K377" s="20"/>
      <c r="L377" s="11" t="str">
        <f aca="false">IF(C377="","",F377*IFERROR(INDEX(Productos!$F$5:$F$104,MATCH(C377,Productos!$B$5:$B$104,0)),0))</f>
        <v/>
      </c>
      <c r="M377" s="11" t="str">
        <f aca="false">IF(C377="","",I377-L377)</f>
        <v/>
      </c>
    </row>
    <row r="378" customFormat="false" ht="15" hidden="false" customHeight="false" outlineLevel="0" collapsed="false">
      <c r="A378" s="25"/>
      <c r="B378" s="20"/>
      <c r="C378" s="20"/>
      <c r="D378" s="7" t="str">
        <f aca="false">IF(C378="","",IFERROR(INDEX(Productos!$A$5:$A$104,MATCH(C378,Productos!$B$5:$B$104,0)),""))</f>
        <v/>
      </c>
      <c r="E378" s="7" t="str">
        <f aca="false">IF(C378="","",IFERROR(INDEX(Productos!$C$5:$C$104,MATCH(C378,Productos!$B$5:$B$104,0)),""))</f>
        <v/>
      </c>
      <c r="F378" s="21"/>
      <c r="G378" s="11" t="str">
        <f aca="false">IF(C378="","",IFERROR(INDEX(Productos!$G$5:$G$104,MATCH(C378,Productos!$B$5:$B$104,0)),0))</f>
        <v/>
      </c>
      <c r="H378" s="26"/>
      <c r="I378" s="11" t="str">
        <f aca="false">IF(C378="","",F378*G378*(1-H378))</f>
        <v/>
      </c>
      <c r="J378" s="20"/>
      <c r="K378" s="20"/>
      <c r="L378" s="11" t="str">
        <f aca="false">IF(C378="","",F378*IFERROR(INDEX(Productos!$F$5:$F$104,MATCH(C378,Productos!$B$5:$B$104,0)),0))</f>
        <v/>
      </c>
      <c r="M378" s="11" t="str">
        <f aca="false">IF(C378="","",I378-L378)</f>
        <v/>
      </c>
    </row>
    <row r="379" customFormat="false" ht="15" hidden="false" customHeight="false" outlineLevel="0" collapsed="false">
      <c r="A379" s="25"/>
      <c r="B379" s="20"/>
      <c r="C379" s="20"/>
      <c r="D379" s="7" t="str">
        <f aca="false">IF(C379="","",IFERROR(INDEX(Productos!$A$5:$A$104,MATCH(C379,Productos!$B$5:$B$104,0)),""))</f>
        <v/>
      </c>
      <c r="E379" s="7" t="str">
        <f aca="false">IF(C379="","",IFERROR(INDEX(Productos!$C$5:$C$104,MATCH(C379,Productos!$B$5:$B$104,0)),""))</f>
        <v/>
      </c>
      <c r="F379" s="21"/>
      <c r="G379" s="11" t="str">
        <f aca="false">IF(C379="","",IFERROR(INDEX(Productos!$G$5:$G$104,MATCH(C379,Productos!$B$5:$B$104,0)),0))</f>
        <v/>
      </c>
      <c r="H379" s="26"/>
      <c r="I379" s="11" t="str">
        <f aca="false">IF(C379="","",F379*G379*(1-H379))</f>
        <v/>
      </c>
      <c r="J379" s="20"/>
      <c r="K379" s="20"/>
      <c r="L379" s="11" t="str">
        <f aca="false">IF(C379="","",F379*IFERROR(INDEX(Productos!$F$5:$F$104,MATCH(C379,Productos!$B$5:$B$104,0)),0))</f>
        <v/>
      </c>
      <c r="M379" s="11" t="str">
        <f aca="false">IF(C379="","",I379-L379)</f>
        <v/>
      </c>
    </row>
    <row r="380" customFormat="false" ht="15" hidden="false" customHeight="false" outlineLevel="0" collapsed="false">
      <c r="A380" s="25"/>
      <c r="B380" s="20"/>
      <c r="C380" s="20"/>
      <c r="D380" s="7" t="str">
        <f aca="false">IF(C380="","",IFERROR(INDEX(Productos!$A$5:$A$104,MATCH(C380,Productos!$B$5:$B$104,0)),""))</f>
        <v/>
      </c>
      <c r="E380" s="7" t="str">
        <f aca="false">IF(C380="","",IFERROR(INDEX(Productos!$C$5:$C$104,MATCH(C380,Productos!$B$5:$B$104,0)),""))</f>
        <v/>
      </c>
      <c r="F380" s="21"/>
      <c r="G380" s="11" t="str">
        <f aca="false">IF(C380="","",IFERROR(INDEX(Productos!$G$5:$G$104,MATCH(C380,Productos!$B$5:$B$104,0)),0))</f>
        <v/>
      </c>
      <c r="H380" s="26"/>
      <c r="I380" s="11" t="str">
        <f aca="false">IF(C380="","",F380*G380*(1-H380))</f>
        <v/>
      </c>
      <c r="J380" s="20"/>
      <c r="K380" s="20"/>
      <c r="L380" s="11" t="str">
        <f aca="false">IF(C380="","",F380*IFERROR(INDEX(Productos!$F$5:$F$104,MATCH(C380,Productos!$B$5:$B$104,0)),0))</f>
        <v/>
      </c>
      <c r="M380" s="11" t="str">
        <f aca="false">IF(C380="","",I380-L380)</f>
        <v/>
      </c>
    </row>
    <row r="381" customFormat="false" ht="15" hidden="false" customHeight="false" outlineLevel="0" collapsed="false">
      <c r="A381" s="25"/>
      <c r="B381" s="20"/>
      <c r="C381" s="20"/>
      <c r="D381" s="7" t="str">
        <f aca="false">IF(C381="","",IFERROR(INDEX(Productos!$A$5:$A$104,MATCH(C381,Productos!$B$5:$B$104,0)),""))</f>
        <v/>
      </c>
      <c r="E381" s="7" t="str">
        <f aca="false">IF(C381="","",IFERROR(INDEX(Productos!$C$5:$C$104,MATCH(C381,Productos!$B$5:$B$104,0)),""))</f>
        <v/>
      </c>
      <c r="F381" s="21"/>
      <c r="G381" s="11" t="str">
        <f aca="false">IF(C381="","",IFERROR(INDEX(Productos!$G$5:$G$104,MATCH(C381,Productos!$B$5:$B$104,0)),0))</f>
        <v/>
      </c>
      <c r="H381" s="26"/>
      <c r="I381" s="11" t="str">
        <f aca="false">IF(C381="","",F381*G381*(1-H381))</f>
        <v/>
      </c>
      <c r="J381" s="20"/>
      <c r="K381" s="20"/>
      <c r="L381" s="11" t="str">
        <f aca="false">IF(C381="","",F381*IFERROR(INDEX(Productos!$F$5:$F$104,MATCH(C381,Productos!$B$5:$B$104,0)),0))</f>
        <v/>
      </c>
      <c r="M381" s="11" t="str">
        <f aca="false">IF(C381="","",I381-L381)</f>
        <v/>
      </c>
    </row>
    <row r="382" customFormat="false" ht="15" hidden="false" customHeight="false" outlineLevel="0" collapsed="false">
      <c r="A382" s="25"/>
      <c r="B382" s="20"/>
      <c r="C382" s="20"/>
      <c r="D382" s="7" t="str">
        <f aca="false">IF(C382="","",IFERROR(INDEX(Productos!$A$5:$A$104,MATCH(C382,Productos!$B$5:$B$104,0)),""))</f>
        <v/>
      </c>
      <c r="E382" s="7" t="str">
        <f aca="false">IF(C382="","",IFERROR(INDEX(Productos!$C$5:$C$104,MATCH(C382,Productos!$B$5:$B$104,0)),""))</f>
        <v/>
      </c>
      <c r="F382" s="21"/>
      <c r="G382" s="11" t="str">
        <f aca="false">IF(C382="","",IFERROR(INDEX(Productos!$G$5:$G$104,MATCH(C382,Productos!$B$5:$B$104,0)),0))</f>
        <v/>
      </c>
      <c r="H382" s="26"/>
      <c r="I382" s="11" t="str">
        <f aca="false">IF(C382="","",F382*G382*(1-H382))</f>
        <v/>
      </c>
      <c r="J382" s="20"/>
      <c r="K382" s="20"/>
      <c r="L382" s="11" t="str">
        <f aca="false">IF(C382="","",F382*IFERROR(INDEX(Productos!$F$5:$F$104,MATCH(C382,Productos!$B$5:$B$104,0)),0))</f>
        <v/>
      </c>
      <c r="M382" s="11" t="str">
        <f aca="false">IF(C382="","",I382-L382)</f>
        <v/>
      </c>
    </row>
    <row r="383" customFormat="false" ht="15" hidden="false" customHeight="false" outlineLevel="0" collapsed="false">
      <c r="A383" s="25"/>
      <c r="B383" s="20"/>
      <c r="C383" s="20"/>
      <c r="D383" s="7" t="str">
        <f aca="false">IF(C383="","",IFERROR(INDEX(Productos!$A$5:$A$104,MATCH(C383,Productos!$B$5:$B$104,0)),""))</f>
        <v/>
      </c>
      <c r="E383" s="7" t="str">
        <f aca="false">IF(C383="","",IFERROR(INDEX(Productos!$C$5:$C$104,MATCH(C383,Productos!$B$5:$B$104,0)),""))</f>
        <v/>
      </c>
      <c r="F383" s="21"/>
      <c r="G383" s="11" t="str">
        <f aca="false">IF(C383="","",IFERROR(INDEX(Productos!$G$5:$G$104,MATCH(C383,Productos!$B$5:$B$104,0)),0))</f>
        <v/>
      </c>
      <c r="H383" s="26"/>
      <c r="I383" s="11" t="str">
        <f aca="false">IF(C383="","",F383*G383*(1-H383))</f>
        <v/>
      </c>
      <c r="J383" s="20"/>
      <c r="K383" s="20"/>
      <c r="L383" s="11" t="str">
        <f aca="false">IF(C383="","",F383*IFERROR(INDEX(Productos!$F$5:$F$104,MATCH(C383,Productos!$B$5:$B$104,0)),0))</f>
        <v/>
      </c>
      <c r="M383" s="11" t="str">
        <f aca="false">IF(C383="","",I383-L383)</f>
        <v/>
      </c>
    </row>
    <row r="384" customFormat="false" ht="15" hidden="false" customHeight="false" outlineLevel="0" collapsed="false">
      <c r="A384" s="25"/>
      <c r="B384" s="20"/>
      <c r="C384" s="20"/>
      <c r="D384" s="7" t="str">
        <f aca="false">IF(C384="","",IFERROR(INDEX(Productos!$A$5:$A$104,MATCH(C384,Productos!$B$5:$B$104,0)),""))</f>
        <v/>
      </c>
      <c r="E384" s="7" t="str">
        <f aca="false">IF(C384="","",IFERROR(INDEX(Productos!$C$5:$C$104,MATCH(C384,Productos!$B$5:$B$104,0)),""))</f>
        <v/>
      </c>
      <c r="F384" s="21"/>
      <c r="G384" s="11" t="str">
        <f aca="false">IF(C384="","",IFERROR(INDEX(Productos!$G$5:$G$104,MATCH(C384,Productos!$B$5:$B$104,0)),0))</f>
        <v/>
      </c>
      <c r="H384" s="26"/>
      <c r="I384" s="11" t="str">
        <f aca="false">IF(C384="","",F384*G384*(1-H384))</f>
        <v/>
      </c>
      <c r="J384" s="20"/>
      <c r="K384" s="20"/>
      <c r="L384" s="11" t="str">
        <f aca="false">IF(C384="","",F384*IFERROR(INDEX(Productos!$F$5:$F$104,MATCH(C384,Productos!$B$5:$B$104,0)),0))</f>
        <v/>
      </c>
      <c r="M384" s="11" t="str">
        <f aca="false">IF(C384="","",I384-L384)</f>
        <v/>
      </c>
    </row>
    <row r="385" customFormat="false" ht="15" hidden="false" customHeight="false" outlineLevel="0" collapsed="false">
      <c r="A385" s="25"/>
      <c r="B385" s="20"/>
      <c r="C385" s="20"/>
      <c r="D385" s="7" t="str">
        <f aca="false">IF(C385="","",IFERROR(INDEX(Productos!$A$5:$A$104,MATCH(C385,Productos!$B$5:$B$104,0)),""))</f>
        <v/>
      </c>
      <c r="E385" s="7" t="str">
        <f aca="false">IF(C385="","",IFERROR(INDEX(Productos!$C$5:$C$104,MATCH(C385,Productos!$B$5:$B$104,0)),""))</f>
        <v/>
      </c>
      <c r="F385" s="21"/>
      <c r="G385" s="11" t="str">
        <f aca="false">IF(C385="","",IFERROR(INDEX(Productos!$G$5:$G$104,MATCH(C385,Productos!$B$5:$B$104,0)),0))</f>
        <v/>
      </c>
      <c r="H385" s="26"/>
      <c r="I385" s="11" t="str">
        <f aca="false">IF(C385="","",F385*G385*(1-H385))</f>
        <v/>
      </c>
      <c r="J385" s="20"/>
      <c r="K385" s="20"/>
      <c r="L385" s="11" t="str">
        <f aca="false">IF(C385="","",F385*IFERROR(INDEX(Productos!$F$5:$F$104,MATCH(C385,Productos!$B$5:$B$104,0)),0))</f>
        <v/>
      </c>
      <c r="M385" s="11" t="str">
        <f aca="false">IF(C385="","",I385-L385)</f>
        <v/>
      </c>
    </row>
    <row r="386" customFormat="false" ht="15" hidden="false" customHeight="false" outlineLevel="0" collapsed="false">
      <c r="A386" s="25"/>
      <c r="B386" s="20"/>
      <c r="C386" s="20"/>
      <c r="D386" s="7" t="str">
        <f aca="false">IF(C386="","",IFERROR(INDEX(Productos!$A$5:$A$104,MATCH(C386,Productos!$B$5:$B$104,0)),""))</f>
        <v/>
      </c>
      <c r="E386" s="7" t="str">
        <f aca="false">IF(C386="","",IFERROR(INDEX(Productos!$C$5:$C$104,MATCH(C386,Productos!$B$5:$B$104,0)),""))</f>
        <v/>
      </c>
      <c r="F386" s="21"/>
      <c r="G386" s="11" t="str">
        <f aca="false">IF(C386="","",IFERROR(INDEX(Productos!$G$5:$G$104,MATCH(C386,Productos!$B$5:$B$104,0)),0))</f>
        <v/>
      </c>
      <c r="H386" s="26"/>
      <c r="I386" s="11" t="str">
        <f aca="false">IF(C386="","",F386*G386*(1-H386))</f>
        <v/>
      </c>
      <c r="J386" s="20"/>
      <c r="K386" s="20"/>
      <c r="L386" s="11" t="str">
        <f aca="false">IF(C386="","",F386*IFERROR(INDEX(Productos!$F$5:$F$104,MATCH(C386,Productos!$B$5:$B$104,0)),0))</f>
        <v/>
      </c>
      <c r="M386" s="11" t="str">
        <f aca="false">IF(C386="","",I386-L386)</f>
        <v/>
      </c>
    </row>
    <row r="387" customFormat="false" ht="15" hidden="false" customHeight="false" outlineLevel="0" collapsed="false">
      <c r="A387" s="25"/>
      <c r="B387" s="20"/>
      <c r="C387" s="20"/>
      <c r="D387" s="7" t="str">
        <f aca="false">IF(C387="","",IFERROR(INDEX(Productos!$A$5:$A$104,MATCH(C387,Productos!$B$5:$B$104,0)),""))</f>
        <v/>
      </c>
      <c r="E387" s="7" t="str">
        <f aca="false">IF(C387="","",IFERROR(INDEX(Productos!$C$5:$C$104,MATCH(C387,Productos!$B$5:$B$104,0)),""))</f>
        <v/>
      </c>
      <c r="F387" s="21"/>
      <c r="G387" s="11" t="str">
        <f aca="false">IF(C387="","",IFERROR(INDEX(Productos!$G$5:$G$104,MATCH(C387,Productos!$B$5:$B$104,0)),0))</f>
        <v/>
      </c>
      <c r="H387" s="26"/>
      <c r="I387" s="11" t="str">
        <f aca="false">IF(C387="","",F387*G387*(1-H387))</f>
        <v/>
      </c>
      <c r="J387" s="20"/>
      <c r="K387" s="20"/>
      <c r="L387" s="11" t="str">
        <f aca="false">IF(C387="","",F387*IFERROR(INDEX(Productos!$F$5:$F$104,MATCH(C387,Productos!$B$5:$B$104,0)),0))</f>
        <v/>
      </c>
      <c r="M387" s="11" t="str">
        <f aca="false">IF(C387="","",I387-L387)</f>
        <v/>
      </c>
    </row>
    <row r="388" customFormat="false" ht="15" hidden="false" customHeight="false" outlineLevel="0" collapsed="false">
      <c r="A388" s="25"/>
      <c r="B388" s="20"/>
      <c r="C388" s="20"/>
      <c r="D388" s="7" t="str">
        <f aca="false">IF(C388="","",IFERROR(INDEX(Productos!$A$5:$A$104,MATCH(C388,Productos!$B$5:$B$104,0)),""))</f>
        <v/>
      </c>
      <c r="E388" s="7" t="str">
        <f aca="false">IF(C388="","",IFERROR(INDEX(Productos!$C$5:$C$104,MATCH(C388,Productos!$B$5:$B$104,0)),""))</f>
        <v/>
      </c>
      <c r="F388" s="21"/>
      <c r="G388" s="11" t="str">
        <f aca="false">IF(C388="","",IFERROR(INDEX(Productos!$G$5:$G$104,MATCH(C388,Productos!$B$5:$B$104,0)),0))</f>
        <v/>
      </c>
      <c r="H388" s="26"/>
      <c r="I388" s="11" t="str">
        <f aca="false">IF(C388="","",F388*G388*(1-H388))</f>
        <v/>
      </c>
      <c r="J388" s="20"/>
      <c r="K388" s="20"/>
      <c r="L388" s="11" t="str">
        <f aca="false">IF(C388="","",F388*IFERROR(INDEX(Productos!$F$5:$F$104,MATCH(C388,Productos!$B$5:$B$104,0)),0))</f>
        <v/>
      </c>
      <c r="M388" s="11" t="str">
        <f aca="false">IF(C388="","",I388-L388)</f>
        <v/>
      </c>
    </row>
    <row r="389" customFormat="false" ht="15" hidden="false" customHeight="false" outlineLevel="0" collapsed="false">
      <c r="A389" s="25"/>
      <c r="B389" s="20"/>
      <c r="C389" s="20"/>
      <c r="D389" s="7" t="str">
        <f aca="false">IF(C389="","",IFERROR(INDEX(Productos!$A$5:$A$104,MATCH(C389,Productos!$B$5:$B$104,0)),""))</f>
        <v/>
      </c>
      <c r="E389" s="7" t="str">
        <f aca="false">IF(C389="","",IFERROR(INDEX(Productos!$C$5:$C$104,MATCH(C389,Productos!$B$5:$B$104,0)),""))</f>
        <v/>
      </c>
      <c r="F389" s="21"/>
      <c r="G389" s="11" t="str">
        <f aca="false">IF(C389="","",IFERROR(INDEX(Productos!$G$5:$G$104,MATCH(C389,Productos!$B$5:$B$104,0)),0))</f>
        <v/>
      </c>
      <c r="H389" s="26"/>
      <c r="I389" s="11" t="str">
        <f aca="false">IF(C389="","",F389*G389*(1-H389))</f>
        <v/>
      </c>
      <c r="J389" s="20"/>
      <c r="K389" s="20"/>
      <c r="L389" s="11" t="str">
        <f aca="false">IF(C389="","",F389*IFERROR(INDEX(Productos!$F$5:$F$104,MATCH(C389,Productos!$B$5:$B$104,0)),0))</f>
        <v/>
      </c>
      <c r="M389" s="11" t="str">
        <f aca="false">IF(C389="","",I389-L389)</f>
        <v/>
      </c>
    </row>
    <row r="390" customFormat="false" ht="15" hidden="false" customHeight="false" outlineLevel="0" collapsed="false">
      <c r="A390" s="25"/>
      <c r="B390" s="20"/>
      <c r="C390" s="20"/>
      <c r="D390" s="7" t="str">
        <f aca="false">IF(C390="","",IFERROR(INDEX(Productos!$A$5:$A$104,MATCH(C390,Productos!$B$5:$B$104,0)),""))</f>
        <v/>
      </c>
      <c r="E390" s="7" t="str">
        <f aca="false">IF(C390="","",IFERROR(INDEX(Productos!$C$5:$C$104,MATCH(C390,Productos!$B$5:$B$104,0)),""))</f>
        <v/>
      </c>
      <c r="F390" s="21"/>
      <c r="G390" s="11" t="str">
        <f aca="false">IF(C390="","",IFERROR(INDEX(Productos!$G$5:$G$104,MATCH(C390,Productos!$B$5:$B$104,0)),0))</f>
        <v/>
      </c>
      <c r="H390" s="26"/>
      <c r="I390" s="11" t="str">
        <f aca="false">IF(C390="","",F390*G390*(1-H390))</f>
        <v/>
      </c>
      <c r="J390" s="20"/>
      <c r="K390" s="20"/>
      <c r="L390" s="11" t="str">
        <f aca="false">IF(C390="","",F390*IFERROR(INDEX(Productos!$F$5:$F$104,MATCH(C390,Productos!$B$5:$B$104,0)),0))</f>
        <v/>
      </c>
      <c r="M390" s="11" t="str">
        <f aca="false">IF(C390="","",I390-L390)</f>
        <v/>
      </c>
    </row>
    <row r="391" customFormat="false" ht="15" hidden="false" customHeight="false" outlineLevel="0" collapsed="false">
      <c r="A391" s="25"/>
      <c r="B391" s="20"/>
      <c r="C391" s="20"/>
      <c r="D391" s="7" t="str">
        <f aca="false">IF(C391="","",IFERROR(INDEX(Productos!$A$5:$A$104,MATCH(C391,Productos!$B$5:$B$104,0)),""))</f>
        <v/>
      </c>
      <c r="E391" s="7" t="str">
        <f aca="false">IF(C391="","",IFERROR(INDEX(Productos!$C$5:$C$104,MATCH(C391,Productos!$B$5:$B$104,0)),""))</f>
        <v/>
      </c>
      <c r="F391" s="21"/>
      <c r="G391" s="11" t="str">
        <f aca="false">IF(C391="","",IFERROR(INDEX(Productos!$G$5:$G$104,MATCH(C391,Productos!$B$5:$B$104,0)),0))</f>
        <v/>
      </c>
      <c r="H391" s="26"/>
      <c r="I391" s="11" t="str">
        <f aca="false">IF(C391="","",F391*G391*(1-H391))</f>
        <v/>
      </c>
      <c r="J391" s="20"/>
      <c r="K391" s="20"/>
      <c r="L391" s="11" t="str">
        <f aca="false">IF(C391="","",F391*IFERROR(INDEX(Productos!$F$5:$F$104,MATCH(C391,Productos!$B$5:$B$104,0)),0))</f>
        <v/>
      </c>
      <c r="M391" s="11" t="str">
        <f aca="false">IF(C391="","",I391-L391)</f>
        <v/>
      </c>
    </row>
    <row r="392" customFormat="false" ht="15" hidden="false" customHeight="false" outlineLevel="0" collapsed="false">
      <c r="A392" s="25"/>
      <c r="B392" s="20"/>
      <c r="C392" s="20"/>
      <c r="D392" s="7" t="str">
        <f aca="false">IF(C392="","",IFERROR(INDEX(Productos!$A$5:$A$104,MATCH(C392,Productos!$B$5:$B$104,0)),""))</f>
        <v/>
      </c>
      <c r="E392" s="7" t="str">
        <f aca="false">IF(C392="","",IFERROR(INDEX(Productos!$C$5:$C$104,MATCH(C392,Productos!$B$5:$B$104,0)),""))</f>
        <v/>
      </c>
      <c r="F392" s="21"/>
      <c r="G392" s="11" t="str">
        <f aca="false">IF(C392="","",IFERROR(INDEX(Productos!$G$5:$G$104,MATCH(C392,Productos!$B$5:$B$104,0)),0))</f>
        <v/>
      </c>
      <c r="H392" s="26"/>
      <c r="I392" s="11" t="str">
        <f aca="false">IF(C392="","",F392*G392*(1-H392))</f>
        <v/>
      </c>
      <c r="J392" s="20"/>
      <c r="K392" s="20"/>
      <c r="L392" s="11" t="str">
        <f aca="false">IF(C392="","",F392*IFERROR(INDEX(Productos!$F$5:$F$104,MATCH(C392,Productos!$B$5:$B$104,0)),0))</f>
        <v/>
      </c>
      <c r="M392" s="11" t="str">
        <f aca="false">IF(C392="","",I392-L392)</f>
        <v/>
      </c>
    </row>
    <row r="393" customFormat="false" ht="15" hidden="false" customHeight="false" outlineLevel="0" collapsed="false">
      <c r="A393" s="25"/>
      <c r="B393" s="20"/>
      <c r="C393" s="20"/>
      <c r="D393" s="7" t="str">
        <f aca="false">IF(C393="","",IFERROR(INDEX(Productos!$A$5:$A$104,MATCH(C393,Productos!$B$5:$B$104,0)),""))</f>
        <v/>
      </c>
      <c r="E393" s="7" t="str">
        <f aca="false">IF(C393="","",IFERROR(INDEX(Productos!$C$5:$C$104,MATCH(C393,Productos!$B$5:$B$104,0)),""))</f>
        <v/>
      </c>
      <c r="F393" s="21"/>
      <c r="G393" s="11" t="str">
        <f aca="false">IF(C393="","",IFERROR(INDEX(Productos!$G$5:$G$104,MATCH(C393,Productos!$B$5:$B$104,0)),0))</f>
        <v/>
      </c>
      <c r="H393" s="26"/>
      <c r="I393" s="11" t="str">
        <f aca="false">IF(C393="","",F393*G393*(1-H393))</f>
        <v/>
      </c>
      <c r="J393" s="20"/>
      <c r="K393" s="20"/>
      <c r="L393" s="11" t="str">
        <f aca="false">IF(C393="","",F393*IFERROR(INDEX(Productos!$F$5:$F$104,MATCH(C393,Productos!$B$5:$B$104,0)),0))</f>
        <v/>
      </c>
      <c r="M393" s="11" t="str">
        <f aca="false">IF(C393="","",I393-L393)</f>
        <v/>
      </c>
    </row>
    <row r="394" customFormat="false" ht="15" hidden="false" customHeight="false" outlineLevel="0" collapsed="false">
      <c r="A394" s="25"/>
      <c r="B394" s="20"/>
      <c r="C394" s="20"/>
      <c r="D394" s="7" t="str">
        <f aca="false">IF(C394="","",IFERROR(INDEX(Productos!$A$5:$A$104,MATCH(C394,Productos!$B$5:$B$104,0)),""))</f>
        <v/>
      </c>
      <c r="E394" s="7" t="str">
        <f aca="false">IF(C394="","",IFERROR(INDEX(Productos!$C$5:$C$104,MATCH(C394,Productos!$B$5:$B$104,0)),""))</f>
        <v/>
      </c>
      <c r="F394" s="21"/>
      <c r="G394" s="11" t="str">
        <f aca="false">IF(C394="","",IFERROR(INDEX(Productos!$G$5:$G$104,MATCH(C394,Productos!$B$5:$B$104,0)),0))</f>
        <v/>
      </c>
      <c r="H394" s="26"/>
      <c r="I394" s="11" t="str">
        <f aca="false">IF(C394="","",F394*G394*(1-H394))</f>
        <v/>
      </c>
      <c r="J394" s="20"/>
      <c r="K394" s="20"/>
      <c r="L394" s="11" t="str">
        <f aca="false">IF(C394="","",F394*IFERROR(INDEX(Productos!$F$5:$F$104,MATCH(C394,Productos!$B$5:$B$104,0)),0))</f>
        <v/>
      </c>
      <c r="M394" s="11" t="str">
        <f aca="false">IF(C394="","",I394-L394)</f>
        <v/>
      </c>
    </row>
    <row r="395" customFormat="false" ht="15" hidden="false" customHeight="false" outlineLevel="0" collapsed="false">
      <c r="A395" s="25"/>
      <c r="B395" s="20"/>
      <c r="C395" s="20"/>
      <c r="D395" s="7" t="str">
        <f aca="false">IF(C395="","",IFERROR(INDEX(Productos!$A$5:$A$104,MATCH(C395,Productos!$B$5:$B$104,0)),""))</f>
        <v/>
      </c>
      <c r="E395" s="7" t="str">
        <f aca="false">IF(C395="","",IFERROR(INDEX(Productos!$C$5:$C$104,MATCH(C395,Productos!$B$5:$B$104,0)),""))</f>
        <v/>
      </c>
      <c r="F395" s="21"/>
      <c r="G395" s="11" t="str">
        <f aca="false">IF(C395="","",IFERROR(INDEX(Productos!$G$5:$G$104,MATCH(C395,Productos!$B$5:$B$104,0)),0))</f>
        <v/>
      </c>
      <c r="H395" s="26"/>
      <c r="I395" s="11" t="str">
        <f aca="false">IF(C395="","",F395*G395*(1-H395))</f>
        <v/>
      </c>
      <c r="J395" s="20"/>
      <c r="K395" s="20"/>
      <c r="L395" s="11" t="str">
        <f aca="false">IF(C395="","",F395*IFERROR(INDEX(Productos!$F$5:$F$104,MATCH(C395,Productos!$B$5:$B$104,0)),0))</f>
        <v/>
      </c>
      <c r="M395" s="11" t="str">
        <f aca="false">IF(C395="","",I395-L395)</f>
        <v/>
      </c>
    </row>
    <row r="396" customFormat="false" ht="15" hidden="false" customHeight="false" outlineLevel="0" collapsed="false">
      <c r="A396" s="25"/>
      <c r="B396" s="20"/>
      <c r="C396" s="20"/>
      <c r="D396" s="7" t="str">
        <f aca="false">IF(C396="","",IFERROR(INDEX(Productos!$A$5:$A$104,MATCH(C396,Productos!$B$5:$B$104,0)),""))</f>
        <v/>
      </c>
      <c r="E396" s="7" t="str">
        <f aca="false">IF(C396="","",IFERROR(INDEX(Productos!$C$5:$C$104,MATCH(C396,Productos!$B$5:$B$104,0)),""))</f>
        <v/>
      </c>
      <c r="F396" s="21"/>
      <c r="G396" s="11" t="str">
        <f aca="false">IF(C396="","",IFERROR(INDEX(Productos!$G$5:$G$104,MATCH(C396,Productos!$B$5:$B$104,0)),0))</f>
        <v/>
      </c>
      <c r="H396" s="26"/>
      <c r="I396" s="11" t="str">
        <f aca="false">IF(C396="","",F396*G396*(1-H396))</f>
        <v/>
      </c>
      <c r="J396" s="20"/>
      <c r="K396" s="20"/>
      <c r="L396" s="11" t="str">
        <f aca="false">IF(C396="","",F396*IFERROR(INDEX(Productos!$F$5:$F$104,MATCH(C396,Productos!$B$5:$B$104,0)),0))</f>
        <v/>
      </c>
      <c r="M396" s="11" t="str">
        <f aca="false">IF(C396="","",I396-L396)</f>
        <v/>
      </c>
    </row>
    <row r="397" customFormat="false" ht="15" hidden="false" customHeight="false" outlineLevel="0" collapsed="false">
      <c r="A397" s="25"/>
      <c r="B397" s="20"/>
      <c r="C397" s="20"/>
      <c r="D397" s="7" t="str">
        <f aca="false">IF(C397="","",IFERROR(INDEX(Productos!$A$5:$A$104,MATCH(C397,Productos!$B$5:$B$104,0)),""))</f>
        <v/>
      </c>
      <c r="E397" s="7" t="str">
        <f aca="false">IF(C397="","",IFERROR(INDEX(Productos!$C$5:$C$104,MATCH(C397,Productos!$B$5:$B$104,0)),""))</f>
        <v/>
      </c>
      <c r="F397" s="21"/>
      <c r="G397" s="11" t="str">
        <f aca="false">IF(C397="","",IFERROR(INDEX(Productos!$G$5:$G$104,MATCH(C397,Productos!$B$5:$B$104,0)),0))</f>
        <v/>
      </c>
      <c r="H397" s="26"/>
      <c r="I397" s="11" t="str">
        <f aca="false">IF(C397="","",F397*G397*(1-H397))</f>
        <v/>
      </c>
      <c r="J397" s="20"/>
      <c r="K397" s="20"/>
      <c r="L397" s="11" t="str">
        <f aca="false">IF(C397="","",F397*IFERROR(INDEX(Productos!$F$5:$F$104,MATCH(C397,Productos!$B$5:$B$104,0)),0))</f>
        <v/>
      </c>
      <c r="M397" s="11" t="str">
        <f aca="false">IF(C397="","",I397-L397)</f>
        <v/>
      </c>
    </row>
    <row r="398" customFormat="false" ht="15" hidden="false" customHeight="false" outlineLevel="0" collapsed="false">
      <c r="A398" s="25"/>
      <c r="B398" s="20"/>
      <c r="C398" s="20"/>
      <c r="D398" s="7" t="str">
        <f aca="false">IF(C398="","",IFERROR(INDEX(Productos!$A$5:$A$104,MATCH(C398,Productos!$B$5:$B$104,0)),""))</f>
        <v/>
      </c>
      <c r="E398" s="7" t="str">
        <f aca="false">IF(C398="","",IFERROR(INDEX(Productos!$C$5:$C$104,MATCH(C398,Productos!$B$5:$B$104,0)),""))</f>
        <v/>
      </c>
      <c r="F398" s="21"/>
      <c r="G398" s="11" t="str">
        <f aca="false">IF(C398="","",IFERROR(INDEX(Productos!$G$5:$G$104,MATCH(C398,Productos!$B$5:$B$104,0)),0))</f>
        <v/>
      </c>
      <c r="H398" s="26"/>
      <c r="I398" s="11" t="str">
        <f aca="false">IF(C398="","",F398*G398*(1-H398))</f>
        <v/>
      </c>
      <c r="J398" s="20"/>
      <c r="K398" s="20"/>
      <c r="L398" s="11" t="str">
        <f aca="false">IF(C398="","",F398*IFERROR(INDEX(Productos!$F$5:$F$104,MATCH(C398,Productos!$B$5:$B$104,0)),0))</f>
        <v/>
      </c>
      <c r="M398" s="11" t="str">
        <f aca="false">IF(C398="","",I398-L398)</f>
        <v/>
      </c>
    </row>
    <row r="399" customFormat="false" ht="15" hidden="false" customHeight="false" outlineLevel="0" collapsed="false">
      <c r="A399" s="25"/>
      <c r="B399" s="20"/>
      <c r="C399" s="20"/>
      <c r="D399" s="7" t="str">
        <f aca="false">IF(C399="","",IFERROR(INDEX(Productos!$A$5:$A$104,MATCH(C399,Productos!$B$5:$B$104,0)),""))</f>
        <v/>
      </c>
      <c r="E399" s="7" t="str">
        <f aca="false">IF(C399="","",IFERROR(INDEX(Productos!$C$5:$C$104,MATCH(C399,Productos!$B$5:$B$104,0)),""))</f>
        <v/>
      </c>
      <c r="F399" s="21"/>
      <c r="G399" s="11" t="str">
        <f aca="false">IF(C399="","",IFERROR(INDEX(Productos!$G$5:$G$104,MATCH(C399,Productos!$B$5:$B$104,0)),0))</f>
        <v/>
      </c>
      <c r="H399" s="26"/>
      <c r="I399" s="11" t="str">
        <f aca="false">IF(C399="","",F399*G399*(1-H399))</f>
        <v/>
      </c>
      <c r="J399" s="20"/>
      <c r="K399" s="20"/>
      <c r="L399" s="11" t="str">
        <f aca="false">IF(C399="","",F399*IFERROR(INDEX(Productos!$F$5:$F$104,MATCH(C399,Productos!$B$5:$B$104,0)),0))</f>
        <v/>
      </c>
      <c r="M399" s="11" t="str">
        <f aca="false">IF(C399="","",I399-L399)</f>
        <v/>
      </c>
    </row>
    <row r="400" customFormat="false" ht="15" hidden="false" customHeight="false" outlineLevel="0" collapsed="false">
      <c r="A400" s="25"/>
      <c r="B400" s="20"/>
      <c r="C400" s="20"/>
      <c r="D400" s="7" t="str">
        <f aca="false">IF(C400="","",IFERROR(INDEX(Productos!$A$5:$A$104,MATCH(C400,Productos!$B$5:$B$104,0)),""))</f>
        <v/>
      </c>
      <c r="E400" s="7" t="str">
        <f aca="false">IF(C400="","",IFERROR(INDEX(Productos!$C$5:$C$104,MATCH(C400,Productos!$B$5:$B$104,0)),""))</f>
        <v/>
      </c>
      <c r="F400" s="21"/>
      <c r="G400" s="11" t="str">
        <f aca="false">IF(C400="","",IFERROR(INDEX(Productos!$G$5:$G$104,MATCH(C400,Productos!$B$5:$B$104,0)),0))</f>
        <v/>
      </c>
      <c r="H400" s="26"/>
      <c r="I400" s="11" t="str">
        <f aca="false">IF(C400="","",F400*G400*(1-H400))</f>
        <v/>
      </c>
      <c r="J400" s="20"/>
      <c r="K400" s="20"/>
      <c r="L400" s="11" t="str">
        <f aca="false">IF(C400="","",F400*IFERROR(INDEX(Productos!$F$5:$F$104,MATCH(C400,Productos!$B$5:$B$104,0)),0))</f>
        <v/>
      </c>
      <c r="M400" s="11" t="str">
        <f aca="false">IF(C400="","",I400-L400)</f>
        <v/>
      </c>
    </row>
    <row r="401" customFormat="false" ht="15" hidden="false" customHeight="false" outlineLevel="0" collapsed="false">
      <c r="A401" s="25"/>
      <c r="B401" s="20"/>
      <c r="C401" s="20"/>
      <c r="D401" s="7" t="str">
        <f aca="false">IF(C401="","",IFERROR(INDEX(Productos!$A$5:$A$104,MATCH(C401,Productos!$B$5:$B$104,0)),""))</f>
        <v/>
      </c>
      <c r="E401" s="7" t="str">
        <f aca="false">IF(C401="","",IFERROR(INDEX(Productos!$C$5:$C$104,MATCH(C401,Productos!$B$5:$B$104,0)),""))</f>
        <v/>
      </c>
      <c r="F401" s="21"/>
      <c r="G401" s="11" t="str">
        <f aca="false">IF(C401="","",IFERROR(INDEX(Productos!$G$5:$G$104,MATCH(C401,Productos!$B$5:$B$104,0)),0))</f>
        <v/>
      </c>
      <c r="H401" s="26"/>
      <c r="I401" s="11" t="str">
        <f aca="false">IF(C401="","",F401*G401*(1-H401))</f>
        <v/>
      </c>
      <c r="J401" s="20"/>
      <c r="K401" s="20"/>
      <c r="L401" s="11" t="str">
        <f aca="false">IF(C401="","",F401*IFERROR(INDEX(Productos!$F$5:$F$104,MATCH(C401,Productos!$B$5:$B$104,0)),0))</f>
        <v/>
      </c>
      <c r="M401" s="11" t="str">
        <f aca="false">IF(C401="","",I401-L401)</f>
        <v/>
      </c>
    </row>
    <row r="402" customFormat="false" ht="15" hidden="false" customHeight="false" outlineLevel="0" collapsed="false">
      <c r="A402" s="25"/>
      <c r="B402" s="20"/>
      <c r="C402" s="20"/>
      <c r="D402" s="7" t="str">
        <f aca="false">IF(C402="","",IFERROR(INDEX(Productos!$A$5:$A$104,MATCH(C402,Productos!$B$5:$B$104,0)),""))</f>
        <v/>
      </c>
      <c r="E402" s="7" t="str">
        <f aca="false">IF(C402="","",IFERROR(INDEX(Productos!$C$5:$C$104,MATCH(C402,Productos!$B$5:$B$104,0)),""))</f>
        <v/>
      </c>
      <c r="F402" s="21"/>
      <c r="G402" s="11" t="str">
        <f aca="false">IF(C402="","",IFERROR(INDEX(Productos!$G$5:$G$104,MATCH(C402,Productos!$B$5:$B$104,0)),0))</f>
        <v/>
      </c>
      <c r="H402" s="26"/>
      <c r="I402" s="11" t="str">
        <f aca="false">IF(C402="","",F402*G402*(1-H402))</f>
        <v/>
      </c>
      <c r="J402" s="20"/>
      <c r="K402" s="20"/>
      <c r="L402" s="11" t="str">
        <f aca="false">IF(C402="","",F402*IFERROR(INDEX(Productos!$F$5:$F$104,MATCH(C402,Productos!$B$5:$B$104,0)),0))</f>
        <v/>
      </c>
      <c r="M402" s="11" t="str">
        <f aca="false">IF(C402="","",I402-L402)</f>
        <v/>
      </c>
    </row>
    <row r="403" customFormat="false" ht="15" hidden="false" customHeight="false" outlineLevel="0" collapsed="false">
      <c r="A403" s="25"/>
      <c r="B403" s="20"/>
      <c r="C403" s="20"/>
      <c r="D403" s="7" t="str">
        <f aca="false">IF(C403="","",IFERROR(INDEX(Productos!$A$5:$A$104,MATCH(C403,Productos!$B$5:$B$104,0)),""))</f>
        <v/>
      </c>
      <c r="E403" s="7" t="str">
        <f aca="false">IF(C403="","",IFERROR(INDEX(Productos!$C$5:$C$104,MATCH(C403,Productos!$B$5:$B$104,0)),""))</f>
        <v/>
      </c>
      <c r="F403" s="21"/>
      <c r="G403" s="11" t="str">
        <f aca="false">IF(C403="","",IFERROR(INDEX(Productos!$G$5:$G$104,MATCH(C403,Productos!$B$5:$B$104,0)),0))</f>
        <v/>
      </c>
      <c r="H403" s="26"/>
      <c r="I403" s="11" t="str">
        <f aca="false">IF(C403="","",F403*G403*(1-H403))</f>
        <v/>
      </c>
      <c r="J403" s="20"/>
      <c r="K403" s="20"/>
      <c r="L403" s="11" t="str">
        <f aca="false">IF(C403="","",F403*IFERROR(INDEX(Productos!$F$5:$F$104,MATCH(C403,Productos!$B$5:$B$104,0)),0))</f>
        <v/>
      </c>
      <c r="M403" s="11" t="str">
        <f aca="false">IF(C403="","",I403-L403)</f>
        <v/>
      </c>
    </row>
    <row r="404" customFormat="false" ht="15" hidden="false" customHeight="false" outlineLevel="0" collapsed="false">
      <c r="A404" s="25"/>
      <c r="B404" s="20"/>
      <c r="C404" s="20"/>
      <c r="D404" s="7" t="str">
        <f aca="false">IF(C404="","",IFERROR(INDEX(Productos!$A$5:$A$104,MATCH(C404,Productos!$B$5:$B$104,0)),""))</f>
        <v/>
      </c>
      <c r="E404" s="7" t="str">
        <f aca="false">IF(C404="","",IFERROR(INDEX(Productos!$C$5:$C$104,MATCH(C404,Productos!$B$5:$B$104,0)),""))</f>
        <v/>
      </c>
      <c r="F404" s="21"/>
      <c r="G404" s="11" t="str">
        <f aca="false">IF(C404="","",IFERROR(INDEX(Productos!$G$5:$G$104,MATCH(C404,Productos!$B$5:$B$104,0)),0))</f>
        <v/>
      </c>
      <c r="H404" s="26"/>
      <c r="I404" s="11" t="str">
        <f aca="false">IF(C404="","",F404*G404*(1-H404))</f>
        <v/>
      </c>
      <c r="J404" s="20"/>
      <c r="K404" s="20"/>
      <c r="L404" s="11" t="str">
        <f aca="false">IF(C404="","",F404*IFERROR(INDEX(Productos!$F$5:$F$104,MATCH(C404,Productos!$B$5:$B$104,0)),0))</f>
        <v/>
      </c>
      <c r="M404" s="11" t="str">
        <f aca="false">IF(C404="","",I404-L404)</f>
        <v/>
      </c>
    </row>
    <row r="405" customFormat="false" ht="15" hidden="false" customHeight="false" outlineLevel="0" collapsed="false">
      <c r="A405" s="25"/>
      <c r="B405" s="20"/>
      <c r="C405" s="20"/>
      <c r="D405" s="7" t="str">
        <f aca="false">IF(C405="","",IFERROR(INDEX(Productos!$A$5:$A$104,MATCH(C405,Productos!$B$5:$B$104,0)),""))</f>
        <v/>
      </c>
      <c r="E405" s="7" t="str">
        <f aca="false">IF(C405="","",IFERROR(INDEX(Productos!$C$5:$C$104,MATCH(C405,Productos!$B$5:$B$104,0)),""))</f>
        <v/>
      </c>
      <c r="F405" s="21"/>
      <c r="G405" s="11" t="str">
        <f aca="false">IF(C405="","",IFERROR(INDEX(Productos!$G$5:$G$104,MATCH(C405,Productos!$B$5:$B$104,0)),0))</f>
        <v/>
      </c>
      <c r="H405" s="26"/>
      <c r="I405" s="11" t="str">
        <f aca="false">IF(C405="","",F405*G405*(1-H405))</f>
        <v/>
      </c>
      <c r="J405" s="20"/>
      <c r="K405" s="20"/>
      <c r="L405" s="11" t="str">
        <f aca="false">IF(C405="","",F405*IFERROR(INDEX(Productos!$F$5:$F$104,MATCH(C405,Productos!$B$5:$B$104,0)),0))</f>
        <v/>
      </c>
      <c r="M405" s="11" t="str">
        <f aca="false">IF(C405="","",I405-L405)</f>
        <v/>
      </c>
    </row>
    <row r="406" customFormat="false" ht="15" hidden="false" customHeight="false" outlineLevel="0" collapsed="false">
      <c r="A406" s="25"/>
      <c r="B406" s="20"/>
      <c r="C406" s="20"/>
      <c r="D406" s="7" t="str">
        <f aca="false">IF(C406="","",IFERROR(INDEX(Productos!$A$5:$A$104,MATCH(C406,Productos!$B$5:$B$104,0)),""))</f>
        <v/>
      </c>
      <c r="E406" s="7" t="str">
        <f aca="false">IF(C406="","",IFERROR(INDEX(Productos!$C$5:$C$104,MATCH(C406,Productos!$B$5:$B$104,0)),""))</f>
        <v/>
      </c>
      <c r="F406" s="21"/>
      <c r="G406" s="11" t="str">
        <f aca="false">IF(C406="","",IFERROR(INDEX(Productos!$G$5:$G$104,MATCH(C406,Productos!$B$5:$B$104,0)),0))</f>
        <v/>
      </c>
      <c r="H406" s="26"/>
      <c r="I406" s="11" t="str">
        <f aca="false">IF(C406="","",F406*G406*(1-H406))</f>
        <v/>
      </c>
      <c r="J406" s="20"/>
      <c r="K406" s="20"/>
      <c r="L406" s="11" t="str">
        <f aca="false">IF(C406="","",F406*IFERROR(INDEX(Productos!$F$5:$F$104,MATCH(C406,Productos!$B$5:$B$104,0)),0))</f>
        <v/>
      </c>
      <c r="M406" s="11" t="str">
        <f aca="false">IF(C406="","",I406-L406)</f>
        <v/>
      </c>
    </row>
    <row r="407" customFormat="false" ht="15" hidden="false" customHeight="false" outlineLevel="0" collapsed="false">
      <c r="A407" s="25"/>
      <c r="B407" s="20"/>
      <c r="C407" s="20"/>
      <c r="D407" s="7" t="str">
        <f aca="false">IF(C407="","",IFERROR(INDEX(Productos!$A$5:$A$104,MATCH(C407,Productos!$B$5:$B$104,0)),""))</f>
        <v/>
      </c>
      <c r="E407" s="7" t="str">
        <f aca="false">IF(C407="","",IFERROR(INDEX(Productos!$C$5:$C$104,MATCH(C407,Productos!$B$5:$B$104,0)),""))</f>
        <v/>
      </c>
      <c r="F407" s="21"/>
      <c r="G407" s="11" t="str">
        <f aca="false">IF(C407="","",IFERROR(INDEX(Productos!$G$5:$G$104,MATCH(C407,Productos!$B$5:$B$104,0)),0))</f>
        <v/>
      </c>
      <c r="H407" s="26"/>
      <c r="I407" s="11" t="str">
        <f aca="false">IF(C407="","",F407*G407*(1-H407))</f>
        <v/>
      </c>
      <c r="J407" s="20"/>
      <c r="K407" s="20"/>
      <c r="L407" s="11" t="str">
        <f aca="false">IF(C407="","",F407*IFERROR(INDEX(Productos!$F$5:$F$104,MATCH(C407,Productos!$B$5:$B$104,0)),0))</f>
        <v/>
      </c>
      <c r="M407" s="11" t="str">
        <f aca="false">IF(C407="","",I407-L407)</f>
        <v/>
      </c>
    </row>
    <row r="408" customFormat="false" ht="15" hidden="false" customHeight="false" outlineLevel="0" collapsed="false">
      <c r="A408" s="25"/>
      <c r="B408" s="20"/>
      <c r="C408" s="20"/>
      <c r="D408" s="7" t="str">
        <f aca="false">IF(C408="","",IFERROR(INDEX(Productos!$A$5:$A$104,MATCH(C408,Productos!$B$5:$B$104,0)),""))</f>
        <v/>
      </c>
      <c r="E408" s="7" t="str">
        <f aca="false">IF(C408="","",IFERROR(INDEX(Productos!$C$5:$C$104,MATCH(C408,Productos!$B$5:$B$104,0)),""))</f>
        <v/>
      </c>
      <c r="F408" s="21"/>
      <c r="G408" s="11" t="str">
        <f aca="false">IF(C408="","",IFERROR(INDEX(Productos!$G$5:$G$104,MATCH(C408,Productos!$B$5:$B$104,0)),0))</f>
        <v/>
      </c>
      <c r="H408" s="26"/>
      <c r="I408" s="11" t="str">
        <f aca="false">IF(C408="","",F408*G408*(1-H408))</f>
        <v/>
      </c>
      <c r="J408" s="20"/>
      <c r="K408" s="20"/>
      <c r="L408" s="11" t="str">
        <f aca="false">IF(C408="","",F408*IFERROR(INDEX(Productos!$F$5:$F$104,MATCH(C408,Productos!$B$5:$B$104,0)),0))</f>
        <v/>
      </c>
      <c r="M408" s="11" t="str">
        <f aca="false">IF(C408="","",I408-L408)</f>
        <v/>
      </c>
    </row>
    <row r="409" customFormat="false" ht="15" hidden="false" customHeight="false" outlineLevel="0" collapsed="false">
      <c r="A409" s="25"/>
      <c r="B409" s="20"/>
      <c r="C409" s="20"/>
      <c r="D409" s="7" t="str">
        <f aca="false">IF(C409="","",IFERROR(INDEX(Productos!$A$5:$A$104,MATCH(C409,Productos!$B$5:$B$104,0)),""))</f>
        <v/>
      </c>
      <c r="E409" s="7" t="str">
        <f aca="false">IF(C409="","",IFERROR(INDEX(Productos!$C$5:$C$104,MATCH(C409,Productos!$B$5:$B$104,0)),""))</f>
        <v/>
      </c>
      <c r="F409" s="21"/>
      <c r="G409" s="11" t="str">
        <f aca="false">IF(C409="","",IFERROR(INDEX(Productos!$G$5:$G$104,MATCH(C409,Productos!$B$5:$B$104,0)),0))</f>
        <v/>
      </c>
      <c r="H409" s="26"/>
      <c r="I409" s="11" t="str">
        <f aca="false">IF(C409="","",F409*G409*(1-H409))</f>
        <v/>
      </c>
      <c r="J409" s="20"/>
      <c r="K409" s="20"/>
      <c r="L409" s="11" t="str">
        <f aca="false">IF(C409="","",F409*IFERROR(INDEX(Productos!$F$5:$F$104,MATCH(C409,Productos!$B$5:$B$104,0)),0))</f>
        <v/>
      </c>
      <c r="M409" s="11" t="str">
        <f aca="false">IF(C409="","",I409-L409)</f>
        <v/>
      </c>
    </row>
    <row r="410" customFormat="false" ht="15" hidden="false" customHeight="false" outlineLevel="0" collapsed="false">
      <c r="A410" s="25"/>
      <c r="B410" s="20"/>
      <c r="C410" s="20"/>
      <c r="D410" s="7" t="str">
        <f aca="false">IF(C410="","",IFERROR(INDEX(Productos!$A$5:$A$104,MATCH(C410,Productos!$B$5:$B$104,0)),""))</f>
        <v/>
      </c>
      <c r="E410" s="7" t="str">
        <f aca="false">IF(C410="","",IFERROR(INDEX(Productos!$C$5:$C$104,MATCH(C410,Productos!$B$5:$B$104,0)),""))</f>
        <v/>
      </c>
      <c r="F410" s="21"/>
      <c r="G410" s="11" t="str">
        <f aca="false">IF(C410="","",IFERROR(INDEX(Productos!$G$5:$G$104,MATCH(C410,Productos!$B$5:$B$104,0)),0))</f>
        <v/>
      </c>
      <c r="H410" s="26"/>
      <c r="I410" s="11" t="str">
        <f aca="false">IF(C410="","",F410*G410*(1-H410))</f>
        <v/>
      </c>
      <c r="J410" s="20"/>
      <c r="K410" s="20"/>
      <c r="L410" s="11" t="str">
        <f aca="false">IF(C410="","",F410*IFERROR(INDEX(Productos!$F$5:$F$104,MATCH(C410,Productos!$B$5:$B$104,0)),0))</f>
        <v/>
      </c>
      <c r="M410" s="11" t="str">
        <f aca="false">IF(C410="","",I410-L410)</f>
        <v/>
      </c>
    </row>
    <row r="411" customFormat="false" ht="15" hidden="false" customHeight="false" outlineLevel="0" collapsed="false">
      <c r="A411" s="25"/>
      <c r="B411" s="20"/>
      <c r="C411" s="20"/>
      <c r="D411" s="7" t="str">
        <f aca="false">IF(C411="","",IFERROR(INDEX(Productos!$A$5:$A$104,MATCH(C411,Productos!$B$5:$B$104,0)),""))</f>
        <v/>
      </c>
      <c r="E411" s="7" t="str">
        <f aca="false">IF(C411="","",IFERROR(INDEX(Productos!$C$5:$C$104,MATCH(C411,Productos!$B$5:$B$104,0)),""))</f>
        <v/>
      </c>
      <c r="F411" s="21"/>
      <c r="G411" s="11" t="str">
        <f aca="false">IF(C411="","",IFERROR(INDEX(Productos!$G$5:$G$104,MATCH(C411,Productos!$B$5:$B$104,0)),0))</f>
        <v/>
      </c>
      <c r="H411" s="26"/>
      <c r="I411" s="11" t="str">
        <f aca="false">IF(C411="","",F411*G411*(1-H411))</f>
        <v/>
      </c>
      <c r="J411" s="20"/>
      <c r="K411" s="20"/>
      <c r="L411" s="11" t="str">
        <f aca="false">IF(C411="","",F411*IFERROR(INDEX(Productos!$F$5:$F$104,MATCH(C411,Productos!$B$5:$B$104,0)),0))</f>
        <v/>
      </c>
      <c r="M411" s="11" t="str">
        <f aca="false">IF(C411="","",I411-L411)</f>
        <v/>
      </c>
    </row>
    <row r="412" customFormat="false" ht="15" hidden="false" customHeight="false" outlineLevel="0" collapsed="false">
      <c r="A412" s="25"/>
      <c r="B412" s="20"/>
      <c r="C412" s="20"/>
      <c r="D412" s="7" t="str">
        <f aca="false">IF(C412="","",IFERROR(INDEX(Productos!$A$5:$A$104,MATCH(C412,Productos!$B$5:$B$104,0)),""))</f>
        <v/>
      </c>
      <c r="E412" s="7" t="str">
        <f aca="false">IF(C412="","",IFERROR(INDEX(Productos!$C$5:$C$104,MATCH(C412,Productos!$B$5:$B$104,0)),""))</f>
        <v/>
      </c>
      <c r="F412" s="21"/>
      <c r="G412" s="11" t="str">
        <f aca="false">IF(C412="","",IFERROR(INDEX(Productos!$G$5:$G$104,MATCH(C412,Productos!$B$5:$B$104,0)),0))</f>
        <v/>
      </c>
      <c r="H412" s="26"/>
      <c r="I412" s="11" t="str">
        <f aca="false">IF(C412="","",F412*G412*(1-H412))</f>
        <v/>
      </c>
      <c r="J412" s="20"/>
      <c r="K412" s="20"/>
      <c r="L412" s="11" t="str">
        <f aca="false">IF(C412="","",F412*IFERROR(INDEX(Productos!$F$5:$F$104,MATCH(C412,Productos!$B$5:$B$104,0)),0))</f>
        <v/>
      </c>
      <c r="M412" s="11" t="str">
        <f aca="false">IF(C412="","",I412-L412)</f>
        <v/>
      </c>
    </row>
    <row r="413" customFormat="false" ht="15" hidden="false" customHeight="false" outlineLevel="0" collapsed="false">
      <c r="A413" s="25"/>
      <c r="B413" s="20"/>
      <c r="C413" s="20"/>
      <c r="D413" s="7" t="str">
        <f aca="false">IF(C413="","",IFERROR(INDEX(Productos!$A$5:$A$104,MATCH(C413,Productos!$B$5:$B$104,0)),""))</f>
        <v/>
      </c>
      <c r="E413" s="7" t="str">
        <f aca="false">IF(C413="","",IFERROR(INDEX(Productos!$C$5:$C$104,MATCH(C413,Productos!$B$5:$B$104,0)),""))</f>
        <v/>
      </c>
      <c r="F413" s="21"/>
      <c r="G413" s="11" t="str">
        <f aca="false">IF(C413="","",IFERROR(INDEX(Productos!$G$5:$G$104,MATCH(C413,Productos!$B$5:$B$104,0)),0))</f>
        <v/>
      </c>
      <c r="H413" s="26"/>
      <c r="I413" s="11" t="str">
        <f aca="false">IF(C413="","",F413*G413*(1-H413))</f>
        <v/>
      </c>
      <c r="J413" s="20"/>
      <c r="K413" s="20"/>
      <c r="L413" s="11" t="str">
        <f aca="false">IF(C413="","",F413*IFERROR(INDEX(Productos!$F$5:$F$104,MATCH(C413,Productos!$B$5:$B$104,0)),0))</f>
        <v/>
      </c>
      <c r="M413" s="11" t="str">
        <f aca="false">IF(C413="","",I413-L413)</f>
        <v/>
      </c>
    </row>
    <row r="414" customFormat="false" ht="15" hidden="false" customHeight="false" outlineLevel="0" collapsed="false">
      <c r="A414" s="25"/>
      <c r="B414" s="20"/>
      <c r="C414" s="20"/>
      <c r="D414" s="7" t="str">
        <f aca="false">IF(C414="","",IFERROR(INDEX(Productos!$A$5:$A$104,MATCH(C414,Productos!$B$5:$B$104,0)),""))</f>
        <v/>
      </c>
      <c r="E414" s="7" t="str">
        <f aca="false">IF(C414="","",IFERROR(INDEX(Productos!$C$5:$C$104,MATCH(C414,Productos!$B$5:$B$104,0)),""))</f>
        <v/>
      </c>
      <c r="F414" s="21"/>
      <c r="G414" s="11" t="str">
        <f aca="false">IF(C414="","",IFERROR(INDEX(Productos!$G$5:$G$104,MATCH(C414,Productos!$B$5:$B$104,0)),0))</f>
        <v/>
      </c>
      <c r="H414" s="26"/>
      <c r="I414" s="11" t="str">
        <f aca="false">IF(C414="","",F414*G414*(1-H414))</f>
        <v/>
      </c>
      <c r="J414" s="20"/>
      <c r="K414" s="20"/>
      <c r="L414" s="11" t="str">
        <f aca="false">IF(C414="","",F414*IFERROR(INDEX(Productos!$F$5:$F$104,MATCH(C414,Productos!$B$5:$B$104,0)),0))</f>
        <v/>
      </c>
      <c r="M414" s="11" t="str">
        <f aca="false">IF(C414="","",I414-L414)</f>
        <v/>
      </c>
    </row>
    <row r="415" customFormat="false" ht="15" hidden="false" customHeight="false" outlineLevel="0" collapsed="false">
      <c r="A415" s="25"/>
      <c r="B415" s="20"/>
      <c r="C415" s="20"/>
      <c r="D415" s="7" t="str">
        <f aca="false">IF(C415="","",IFERROR(INDEX(Productos!$A$5:$A$104,MATCH(C415,Productos!$B$5:$B$104,0)),""))</f>
        <v/>
      </c>
      <c r="E415" s="7" t="str">
        <f aca="false">IF(C415="","",IFERROR(INDEX(Productos!$C$5:$C$104,MATCH(C415,Productos!$B$5:$B$104,0)),""))</f>
        <v/>
      </c>
      <c r="F415" s="21"/>
      <c r="G415" s="11" t="str">
        <f aca="false">IF(C415="","",IFERROR(INDEX(Productos!$G$5:$G$104,MATCH(C415,Productos!$B$5:$B$104,0)),0))</f>
        <v/>
      </c>
      <c r="H415" s="26"/>
      <c r="I415" s="11" t="str">
        <f aca="false">IF(C415="","",F415*G415*(1-H415))</f>
        <v/>
      </c>
      <c r="J415" s="20"/>
      <c r="K415" s="20"/>
      <c r="L415" s="11" t="str">
        <f aca="false">IF(C415="","",F415*IFERROR(INDEX(Productos!$F$5:$F$104,MATCH(C415,Productos!$B$5:$B$104,0)),0))</f>
        <v/>
      </c>
      <c r="M415" s="11" t="str">
        <f aca="false">IF(C415="","",I415-L415)</f>
        <v/>
      </c>
    </row>
    <row r="416" customFormat="false" ht="15" hidden="false" customHeight="false" outlineLevel="0" collapsed="false">
      <c r="A416" s="25"/>
      <c r="B416" s="20"/>
      <c r="C416" s="20"/>
      <c r="D416" s="7" t="str">
        <f aca="false">IF(C416="","",IFERROR(INDEX(Productos!$A$5:$A$104,MATCH(C416,Productos!$B$5:$B$104,0)),""))</f>
        <v/>
      </c>
      <c r="E416" s="7" t="str">
        <f aca="false">IF(C416="","",IFERROR(INDEX(Productos!$C$5:$C$104,MATCH(C416,Productos!$B$5:$B$104,0)),""))</f>
        <v/>
      </c>
      <c r="F416" s="21"/>
      <c r="G416" s="11" t="str">
        <f aca="false">IF(C416="","",IFERROR(INDEX(Productos!$G$5:$G$104,MATCH(C416,Productos!$B$5:$B$104,0)),0))</f>
        <v/>
      </c>
      <c r="H416" s="26"/>
      <c r="I416" s="11" t="str">
        <f aca="false">IF(C416="","",F416*G416*(1-H416))</f>
        <v/>
      </c>
      <c r="J416" s="20"/>
      <c r="K416" s="20"/>
      <c r="L416" s="11" t="str">
        <f aca="false">IF(C416="","",F416*IFERROR(INDEX(Productos!$F$5:$F$104,MATCH(C416,Productos!$B$5:$B$104,0)),0))</f>
        <v/>
      </c>
      <c r="M416" s="11" t="str">
        <f aca="false">IF(C416="","",I416-L416)</f>
        <v/>
      </c>
    </row>
    <row r="417" customFormat="false" ht="15" hidden="false" customHeight="false" outlineLevel="0" collapsed="false">
      <c r="A417" s="25"/>
      <c r="B417" s="20"/>
      <c r="C417" s="20"/>
      <c r="D417" s="7" t="str">
        <f aca="false">IF(C417="","",IFERROR(INDEX(Productos!$A$5:$A$104,MATCH(C417,Productos!$B$5:$B$104,0)),""))</f>
        <v/>
      </c>
      <c r="E417" s="7" t="str">
        <f aca="false">IF(C417="","",IFERROR(INDEX(Productos!$C$5:$C$104,MATCH(C417,Productos!$B$5:$B$104,0)),""))</f>
        <v/>
      </c>
      <c r="F417" s="21"/>
      <c r="G417" s="11" t="str">
        <f aca="false">IF(C417="","",IFERROR(INDEX(Productos!$G$5:$G$104,MATCH(C417,Productos!$B$5:$B$104,0)),0))</f>
        <v/>
      </c>
      <c r="H417" s="26"/>
      <c r="I417" s="11" t="str">
        <f aca="false">IF(C417="","",F417*G417*(1-H417))</f>
        <v/>
      </c>
      <c r="J417" s="20"/>
      <c r="K417" s="20"/>
      <c r="L417" s="11" t="str">
        <f aca="false">IF(C417="","",F417*IFERROR(INDEX(Productos!$F$5:$F$104,MATCH(C417,Productos!$B$5:$B$104,0)),0))</f>
        <v/>
      </c>
      <c r="M417" s="11" t="str">
        <f aca="false">IF(C417="","",I417-L417)</f>
        <v/>
      </c>
    </row>
    <row r="418" customFormat="false" ht="15" hidden="false" customHeight="false" outlineLevel="0" collapsed="false">
      <c r="A418" s="25"/>
      <c r="B418" s="20"/>
      <c r="C418" s="20"/>
      <c r="D418" s="7" t="str">
        <f aca="false">IF(C418="","",IFERROR(INDEX(Productos!$A$5:$A$104,MATCH(C418,Productos!$B$5:$B$104,0)),""))</f>
        <v/>
      </c>
      <c r="E418" s="7" t="str">
        <f aca="false">IF(C418="","",IFERROR(INDEX(Productos!$C$5:$C$104,MATCH(C418,Productos!$B$5:$B$104,0)),""))</f>
        <v/>
      </c>
      <c r="F418" s="21"/>
      <c r="G418" s="11" t="str">
        <f aca="false">IF(C418="","",IFERROR(INDEX(Productos!$G$5:$G$104,MATCH(C418,Productos!$B$5:$B$104,0)),0))</f>
        <v/>
      </c>
      <c r="H418" s="26"/>
      <c r="I418" s="11" t="str">
        <f aca="false">IF(C418="","",F418*G418*(1-H418))</f>
        <v/>
      </c>
      <c r="J418" s="20"/>
      <c r="K418" s="20"/>
      <c r="L418" s="11" t="str">
        <f aca="false">IF(C418="","",F418*IFERROR(INDEX(Productos!$F$5:$F$104,MATCH(C418,Productos!$B$5:$B$104,0)),0))</f>
        <v/>
      </c>
      <c r="M418" s="11" t="str">
        <f aca="false">IF(C418="","",I418-L418)</f>
        <v/>
      </c>
    </row>
    <row r="419" customFormat="false" ht="15" hidden="false" customHeight="false" outlineLevel="0" collapsed="false">
      <c r="A419" s="25"/>
      <c r="B419" s="20"/>
      <c r="C419" s="20"/>
      <c r="D419" s="7" t="str">
        <f aca="false">IF(C419="","",IFERROR(INDEX(Productos!$A$5:$A$104,MATCH(C419,Productos!$B$5:$B$104,0)),""))</f>
        <v/>
      </c>
      <c r="E419" s="7" t="str">
        <f aca="false">IF(C419="","",IFERROR(INDEX(Productos!$C$5:$C$104,MATCH(C419,Productos!$B$5:$B$104,0)),""))</f>
        <v/>
      </c>
      <c r="F419" s="21"/>
      <c r="G419" s="11" t="str">
        <f aca="false">IF(C419="","",IFERROR(INDEX(Productos!$G$5:$G$104,MATCH(C419,Productos!$B$5:$B$104,0)),0))</f>
        <v/>
      </c>
      <c r="H419" s="26"/>
      <c r="I419" s="11" t="str">
        <f aca="false">IF(C419="","",F419*G419*(1-H419))</f>
        <v/>
      </c>
      <c r="J419" s="20"/>
      <c r="K419" s="20"/>
      <c r="L419" s="11" t="str">
        <f aca="false">IF(C419="","",F419*IFERROR(INDEX(Productos!$F$5:$F$104,MATCH(C419,Productos!$B$5:$B$104,0)),0))</f>
        <v/>
      </c>
      <c r="M419" s="11" t="str">
        <f aca="false">IF(C419="","",I419-L419)</f>
        <v/>
      </c>
    </row>
    <row r="420" customFormat="false" ht="15" hidden="false" customHeight="false" outlineLevel="0" collapsed="false">
      <c r="A420" s="25"/>
      <c r="B420" s="20"/>
      <c r="C420" s="20"/>
      <c r="D420" s="7" t="str">
        <f aca="false">IF(C420="","",IFERROR(INDEX(Productos!$A$5:$A$104,MATCH(C420,Productos!$B$5:$B$104,0)),""))</f>
        <v/>
      </c>
      <c r="E420" s="7" t="str">
        <f aca="false">IF(C420="","",IFERROR(INDEX(Productos!$C$5:$C$104,MATCH(C420,Productos!$B$5:$B$104,0)),""))</f>
        <v/>
      </c>
      <c r="F420" s="21"/>
      <c r="G420" s="11" t="str">
        <f aca="false">IF(C420="","",IFERROR(INDEX(Productos!$G$5:$G$104,MATCH(C420,Productos!$B$5:$B$104,0)),0))</f>
        <v/>
      </c>
      <c r="H420" s="26"/>
      <c r="I420" s="11" t="str">
        <f aca="false">IF(C420="","",F420*G420*(1-H420))</f>
        <v/>
      </c>
      <c r="J420" s="20"/>
      <c r="K420" s="20"/>
      <c r="L420" s="11" t="str">
        <f aca="false">IF(C420="","",F420*IFERROR(INDEX(Productos!$F$5:$F$104,MATCH(C420,Productos!$B$5:$B$104,0)),0))</f>
        <v/>
      </c>
      <c r="M420" s="11" t="str">
        <f aca="false">IF(C420="","",I420-L420)</f>
        <v/>
      </c>
    </row>
    <row r="421" customFormat="false" ht="15" hidden="false" customHeight="false" outlineLevel="0" collapsed="false">
      <c r="A421" s="25"/>
      <c r="B421" s="20"/>
      <c r="C421" s="20"/>
      <c r="D421" s="7" t="str">
        <f aca="false">IF(C421="","",IFERROR(INDEX(Productos!$A$5:$A$104,MATCH(C421,Productos!$B$5:$B$104,0)),""))</f>
        <v/>
      </c>
      <c r="E421" s="7" t="str">
        <f aca="false">IF(C421="","",IFERROR(INDEX(Productos!$C$5:$C$104,MATCH(C421,Productos!$B$5:$B$104,0)),""))</f>
        <v/>
      </c>
      <c r="F421" s="21"/>
      <c r="G421" s="11" t="str">
        <f aca="false">IF(C421="","",IFERROR(INDEX(Productos!$G$5:$G$104,MATCH(C421,Productos!$B$5:$B$104,0)),0))</f>
        <v/>
      </c>
      <c r="H421" s="26"/>
      <c r="I421" s="11" t="str">
        <f aca="false">IF(C421="","",F421*G421*(1-H421))</f>
        <v/>
      </c>
      <c r="J421" s="20"/>
      <c r="K421" s="20"/>
      <c r="L421" s="11" t="str">
        <f aca="false">IF(C421="","",F421*IFERROR(INDEX(Productos!$F$5:$F$104,MATCH(C421,Productos!$B$5:$B$104,0)),0))</f>
        <v/>
      </c>
      <c r="M421" s="11" t="str">
        <f aca="false">IF(C421="","",I421-L421)</f>
        <v/>
      </c>
    </row>
    <row r="422" customFormat="false" ht="15" hidden="false" customHeight="false" outlineLevel="0" collapsed="false">
      <c r="A422" s="25"/>
      <c r="B422" s="20"/>
      <c r="C422" s="20"/>
      <c r="D422" s="7" t="str">
        <f aca="false">IF(C422="","",IFERROR(INDEX(Productos!$A$5:$A$104,MATCH(C422,Productos!$B$5:$B$104,0)),""))</f>
        <v/>
      </c>
      <c r="E422" s="7" t="str">
        <f aca="false">IF(C422="","",IFERROR(INDEX(Productos!$C$5:$C$104,MATCH(C422,Productos!$B$5:$B$104,0)),""))</f>
        <v/>
      </c>
      <c r="F422" s="21"/>
      <c r="G422" s="11" t="str">
        <f aca="false">IF(C422="","",IFERROR(INDEX(Productos!$G$5:$G$104,MATCH(C422,Productos!$B$5:$B$104,0)),0))</f>
        <v/>
      </c>
      <c r="H422" s="26"/>
      <c r="I422" s="11" t="str">
        <f aca="false">IF(C422="","",F422*G422*(1-H422))</f>
        <v/>
      </c>
      <c r="J422" s="20"/>
      <c r="K422" s="20"/>
      <c r="L422" s="11" t="str">
        <f aca="false">IF(C422="","",F422*IFERROR(INDEX(Productos!$F$5:$F$104,MATCH(C422,Productos!$B$5:$B$104,0)),0))</f>
        <v/>
      </c>
      <c r="M422" s="11" t="str">
        <f aca="false">IF(C422="","",I422-L422)</f>
        <v/>
      </c>
    </row>
    <row r="423" customFormat="false" ht="15" hidden="false" customHeight="false" outlineLevel="0" collapsed="false">
      <c r="A423" s="25"/>
      <c r="B423" s="20"/>
      <c r="C423" s="20"/>
      <c r="D423" s="7" t="str">
        <f aca="false">IF(C423="","",IFERROR(INDEX(Productos!$A$5:$A$104,MATCH(C423,Productos!$B$5:$B$104,0)),""))</f>
        <v/>
      </c>
      <c r="E423" s="7" t="str">
        <f aca="false">IF(C423="","",IFERROR(INDEX(Productos!$C$5:$C$104,MATCH(C423,Productos!$B$5:$B$104,0)),""))</f>
        <v/>
      </c>
      <c r="F423" s="21"/>
      <c r="G423" s="11" t="str">
        <f aca="false">IF(C423="","",IFERROR(INDEX(Productos!$G$5:$G$104,MATCH(C423,Productos!$B$5:$B$104,0)),0))</f>
        <v/>
      </c>
      <c r="H423" s="26"/>
      <c r="I423" s="11" t="str">
        <f aca="false">IF(C423="","",F423*G423*(1-H423))</f>
        <v/>
      </c>
      <c r="J423" s="20"/>
      <c r="K423" s="20"/>
      <c r="L423" s="11" t="str">
        <f aca="false">IF(C423="","",F423*IFERROR(INDEX(Productos!$F$5:$F$104,MATCH(C423,Productos!$B$5:$B$104,0)),0))</f>
        <v/>
      </c>
      <c r="M423" s="11" t="str">
        <f aca="false">IF(C423="","",I423-L423)</f>
        <v/>
      </c>
    </row>
    <row r="424" customFormat="false" ht="15" hidden="false" customHeight="false" outlineLevel="0" collapsed="false">
      <c r="A424" s="25"/>
      <c r="B424" s="20"/>
      <c r="C424" s="20"/>
      <c r="D424" s="7" t="str">
        <f aca="false">IF(C424="","",IFERROR(INDEX(Productos!$A$5:$A$104,MATCH(C424,Productos!$B$5:$B$104,0)),""))</f>
        <v/>
      </c>
      <c r="E424" s="7" t="str">
        <f aca="false">IF(C424="","",IFERROR(INDEX(Productos!$C$5:$C$104,MATCH(C424,Productos!$B$5:$B$104,0)),""))</f>
        <v/>
      </c>
      <c r="F424" s="21"/>
      <c r="G424" s="11" t="str">
        <f aca="false">IF(C424="","",IFERROR(INDEX(Productos!$G$5:$G$104,MATCH(C424,Productos!$B$5:$B$104,0)),0))</f>
        <v/>
      </c>
      <c r="H424" s="26"/>
      <c r="I424" s="11" t="str">
        <f aca="false">IF(C424="","",F424*G424*(1-H424))</f>
        <v/>
      </c>
      <c r="J424" s="20"/>
      <c r="K424" s="20"/>
      <c r="L424" s="11" t="str">
        <f aca="false">IF(C424="","",F424*IFERROR(INDEX(Productos!$F$5:$F$104,MATCH(C424,Productos!$B$5:$B$104,0)),0))</f>
        <v/>
      </c>
      <c r="M424" s="11" t="str">
        <f aca="false">IF(C424="","",I424-L424)</f>
        <v/>
      </c>
    </row>
    <row r="425" customFormat="false" ht="15" hidden="false" customHeight="false" outlineLevel="0" collapsed="false">
      <c r="A425" s="25"/>
      <c r="B425" s="20"/>
      <c r="C425" s="20"/>
      <c r="D425" s="7" t="str">
        <f aca="false">IF(C425="","",IFERROR(INDEX(Productos!$A$5:$A$104,MATCH(C425,Productos!$B$5:$B$104,0)),""))</f>
        <v/>
      </c>
      <c r="E425" s="7" t="str">
        <f aca="false">IF(C425="","",IFERROR(INDEX(Productos!$C$5:$C$104,MATCH(C425,Productos!$B$5:$B$104,0)),""))</f>
        <v/>
      </c>
      <c r="F425" s="21"/>
      <c r="G425" s="11" t="str">
        <f aca="false">IF(C425="","",IFERROR(INDEX(Productos!$G$5:$G$104,MATCH(C425,Productos!$B$5:$B$104,0)),0))</f>
        <v/>
      </c>
      <c r="H425" s="26"/>
      <c r="I425" s="11" t="str">
        <f aca="false">IF(C425="","",F425*G425*(1-H425))</f>
        <v/>
      </c>
      <c r="J425" s="20"/>
      <c r="K425" s="20"/>
      <c r="L425" s="11" t="str">
        <f aca="false">IF(C425="","",F425*IFERROR(INDEX(Productos!$F$5:$F$104,MATCH(C425,Productos!$B$5:$B$104,0)),0))</f>
        <v/>
      </c>
      <c r="M425" s="11" t="str">
        <f aca="false">IF(C425="","",I425-L425)</f>
        <v/>
      </c>
    </row>
    <row r="426" customFormat="false" ht="15" hidden="false" customHeight="false" outlineLevel="0" collapsed="false">
      <c r="A426" s="25"/>
      <c r="B426" s="20"/>
      <c r="C426" s="20"/>
      <c r="D426" s="7" t="str">
        <f aca="false">IF(C426="","",IFERROR(INDEX(Productos!$A$5:$A$104,MATCH(C426,Productos!$B$5:$B$104,0)),""))</f>
        <v/>
      </c>
      <c r="E426" s="7" t="str">
        <f aca="false">IF(C426="","",IFERROR(INDEX(Productos!$C$5:$C$104,MATCH(C426,Productos!$B$5:$B$104,0)),""))</f>
        <v/>
      </c>
      <c r="F426" s="21"/>
      <c r="G426" s="11" t="str">
        <f aca="false">IF(C426="","",IFERROR(INDEX(Productos!$G$5:$G$104,MATCH(C426,Productos!$B$5:$B$104,0)),0))</f>
        <v/>
      </c>
      <c r="H426" s="26"/>
      <c r="I426" s="11" t="str">
        <f aca="false">IF(C426="","",F426*G426*(1-H426))</f>
        <v/>
      </c>
      <c r="J426" s="20"/>
      <c r="K426" s="20"/>
      <c r="L426" s="11" t="str">
        <f aca="false">IF(C426="","",F426*IFERROR(INDEX(Productos!$F$5:$F$104,MATCH(C426,Productos!$B$5:$B$104,0)),0))</f>
        <v/>
      </c>
      <c r="M426" s="11" t="str">
        <f aca="false">IF(C426="","",I426-L426)</f>
        <v/>
      </c>
    </row>
    <row r="427" customFormat="false" ht="15" hidden="false" customHeight="false" outlineLevel="0" collapsed="false">
      <c r="A427" s="25"/>
      <c r="B427" s="20"/>
      <c r="C427" s="20"/>
      <c r="D427" s="7" t="str">
        <f aca="false">IF(C427="","",IFERROR(INDEX(Productos!$A$5:$A$104,MATCH(C427,Productos!$B$5:$B$104,0)),""))</f>
        <v/>
      </c>
      <c r="E427" s="7" t="str">
        <f aca="false">IF(C427="","",IFERROR(INDEX(Productos!$C$5:$C$104,MATCH(C427,Productos!$B$5:$B$104,0)),""))</f>
        <v/>
      </c>
      <c r="F427" s="21"/>
      <c r="G427" s="11" t="str">
        <f aca="false">IF(C427="","",IFERROR(INDEX(Productos!$G$5:$G$104,MATCH(C427,Productos!$B$5:$B$104,0)),0))</f>
        <v/>
      </c>
      <c r="H427" s="26"/>
      <c r="I427" s="11" t="str">
        <f aca="false">IF(C427="","",F427*G427*(1-H427))</f>
        <v/>
      </c>
      <c r="J427" s="20"/>
      <c r="K427" s="20"/>
      <c r="L427" s="11" t="str">
        <f aca="false">IF(C427="","",F427*IFERROR(INDEX(Productos!$F$5:$F$104,MATCH(C427,Productos!$B$5:$B$104,0)),0))</f>
        <v/>
      </c>
      <c r="M427" s="11" t="str">
        <f aca="false">IF(C427="","",I427-L427)</f>
        <v/>
      </c>
    </row>
    <row r="428" customFormat="false" ht="15" hidden="false" customHeight="false" outlineLevel="0" collapsed="false">
      <c r="A428" s="25"/>
      <c r="B428" s="20"/>
      <c r="C428" s="20"/>
      <c r="D428" s="7" t="str">
        <f aca="false">IF(C428="","",IFERROR(INDEX(Productos!$A$5:$A$104,MATCH(C428,Productos!$B$5:$B$104,0)),""))</f>
        <v/>
      </c>
      <c r="E428" s="7" t="str">
        <f aca="false">IF(C428="","",IFERROR(INDEX(Productos!$C$5:$C$104,MATCH(C428,Productos!$B$5:$B$104,0)),""))</f>
        <v/>
      </c>
      <c r="F428" s="21"/>
      <c r="G428" s="11" t="str">
        <f aca="false">IF(C428="","",IFERROR(INDEX(Productos!$G$5:$G$104,MATCH(C428,Productos!$B$5:$B$104,0)),0))</f>
        <v/>
      </c>
      <c r="H428" s="26"/>
      <c r="I428" s="11" t="str">
        <f aca="false">IF(C428="","",F428*G428*(1-H428))</f>
        <v/>
      </c>
      <c r="J428" s="20"/>
      <c r="K428" s="20"/>
      <c r="L428" s="11" t="str">
        <f aca="false">IF(C428="","",F428*IFERROR(INDEX(Productos!$F$5:$F$104,MATCH(C428,Productos!$B$5:$B$104,0)),0))</f>
        <v/>
      </c>
      <c r="M428" s="11" t="str">
        <f aca="false">IF(C428="","",I428-L428)</f>
        <v/>
      </c>
    </row>
    <row r="429" customFormat="false" ht="15" hidden="false" customHeight="false" outlineLevel="0" collapsed="false">
      <c r="A429" s="25"/>
      <c r="B429" s="20"/>
      <c r="C429" s="20"/>
      <c r="D429" s="7" t="str">
        <f aca="false">IF(C429="","",IFERROR(INDEX(Productos!$A$5:$A$104,MATCH(C429,Productos!$B$5:$B$104,0)),""))</f>
        <v/>
      </c>
      <c r="E429" s="7" t="str">
        <f aca="false">IF(C429="","",IFERROR(INDEX(Productos!$C$5:$C$104,MATCH(C429,Productos!$B$5:$B$104,0)),""))</f>
        <v/>
      </c>
      <c r="F429" s="21"/>
      <c r="G429" s="11" t="str">
        <f aca="false">IF(C429="","",IFERROR(INDEX(Productos!$G$5:$G$104,MATCH(C429,Productos!$B$5:$B$104,0)),0))</f>
        <v/>
      </c>
      <c r="H429" s="26"/>
      <c r="I429" s="11" t="str">
        <f aca="false">IF(C429="","",F429*G429*(1-H429))</f>
        <v/>
      </c>
      <c r="J429" s="20"/>
      <c r="K429" s="20"/>
      <c r="L429" s="11" t="str">
        <f aca="false">IF(C429="","",F429*IFERROR(INDEX(Productos!$F$5:$F$104,MATCH(C429,Productos!$B$5:$B$104,0)),0))</f>
        <v/>
      </c>
      <c r="M429" s="11" t="str">
        <f aca="false">IF(C429="","",I429-L429)</f>
        <v/>
      </c>
    </row>
    <row r="430" customFormat="false" ht="15" hidden="false" customHeight="false" outlineLevel="0" collapsed="false">
      <c r="A430" s="25"/>
      <c r="B430" s="20"/>
      <c r="C430" s="20"/>
      <c r="D430" s="7" t="str">
        <f aca="false">IF(C430="","",IFERROR(INDEX(Productos!$A$5:$A$104,MATCH(C430,Productos!$B$5:$B$104,0)),""))</f>
        <v/>
      </c>
      <c r="E430" s="7" t="str">
        <f aca="false">IF(C430="","",IFERROR(INDEX(Productos!$C$5:$C$104,MATCH(C430,Productos!$B$5:$B$104,0)),""))</f>
        <v/>
      </c>
      <c r="F430" s="21"/>
      <c r="G430" s="11" t="str">
        <f aca="false">IF(C430="","",IFERROR(INDEX(Productos!$G$5:$G$104,MATCH(C430,Productos!$B$5:$B$104,0)),0))</f>
        <v/>
      </c>
      <c r="H430" s="26"/>
      <c r="I430" s="11" t="str">
        <f aca="false">IF(C430="","",F430*G430*(1-H430))</f>
        <v/>
      </c>
      <c r="J430" s="20"/>
      <c r="K430" s="20"/>
      <c r="L430" s="11" t="str">
        <f aca="false">IF(C430="","",F430*IFERROR(INDEX(Productos!$F$5:$F$104,MATCH(C430,Productos!$B$5:$B$104,0)),0))</f>
        <v/>
      </c>
      <c r="M430" s="11" t="str">
        <f aca="false">IF(C430="","",I430-L430)</f>
        <v/>
      </c>
    </row>
    <row r="431" customFormat="false" ht="15" hidden="false" customHeight="false" outlineLevel="0" collapsed="false">
      <c r="A431" s="25"/>
      <c r="B431" s="20"/>
      <c r="C431" s="20"/>
      <c r="D431" s="7" t="str">
        <f aca="false">IF(C431="","",IFERROR(INDEX(Productos!$A$5:$A$104,MATCH(C431,Productos!$B$5:$B$104,0)),""))</f>
        <v/>
      </c>
      <c r="E431" s="7" t="str">
        <f aca="false">IF(C431="","",IFERROR(INDEX(Productos!$C$5:$C$104,MATCH(C431,Productos!$B$5:$B$104,0)),""))</f>
        <v/>
      </c>
      <c r="F431" s="21"/>
      <c r="G431" s="11" t="str">
        <f aca="false">IF(C431="","",IFERROR(INDEX(Productos!$G$5:$G$104,MATCH(C431,Productos!$B$5:$B$104,0)),0))</f>
        <v/>
      </c>
      <c r="H431" s="26"/>
      <c r="I431" s="11" t="str">
        <f aca="false">IF(C431="","",F431*G431*(1-H431))</f>
        <v/>
      </c>
      <c r="J431" s="20"/>
      <c r="K431" s="20"/>
      <c r="L431" s="11" t="str">
        <f aca="false">IF(C431="","",F431*IFERROR(INDEX(Productos!$F$5:$F$104,MATCH(C431,Productos!$B$5:$B$104,0)),0))</f>
        <v/>
      </c>
      <c r="M431" s="11" t="str">
        <f aca="false">IF(C431="","",I431-L431)</f>
        <v/>
      </c>
    </row>
    <row r="432" customFormat="false" ht="15" hidden="false" customHeight="false" outlineLevel="0" collapsed="false">
      <c r="A432" s="25"/>
      <c r="B432" s="20"/>
      <c r="C432" s="20"/>
      <c r="D432" s="7" t="str">
        <f aca="false">IF(C432="","",IFERROR(INDEX(Productos!$A$5:$A$104,MATCH(C432,Productos!$B$5:$B$104,0)),""))</f>
        <v/>
      </c>
      <c r="E432" s="7" t="str">
        <f aca="false">IF(C432="","",IFERROR(INDEX(Productos!$C$5:$C$104,MATCH(C432,Productos!$B$5:$B$104,0)),""))</f>
        <v/>
      </c>
      <c r="F432" s="21"/>
      <c r="G432" s="11" t="str">
        <f aca="false">IF(C432="","",IFERROR(INDEX(Productos!$G$5:$G$104,MATCH(C432,Productos!$B$5:$B$104,0)),0))</f>
        <v/>
      </c>
      <c r="H432" s="26"/>
      <c r="I432" s="11" t="str">
        <f aca="false">IF(C432="","",F432*G432*(1-H432))</f>
        <v/>
      </c>
      <c r="J432" s="20"/>
      <c r="K432" s="20"/>
      <c r="L432" s="11" t="str">
        <f aca="false">IF(C432="","",F432*IFERROR(INDEX(Productos!$F$5:$F$104,MATCH(C432,Productos!$B$5:$B$104,0)),0))</f>
        <v/>
      </c>
      <c r="M432" s="11" t="str">
        <f aca="false">IF(C432="","",I432-L432)</f>
        <v/>
      </c>
    </row>
    <row r="433" customFormat="false" ht="15" hidden="false" customHeight="false" outlineLevel="0" collapsed="false">
      <c r="A433" s="25"/>
      <c r="B433" s="20"/>
      <c r="C433" s="20"/>
      <c r="D433" s="7" t="str">
        <f aca="false">IF(C433="","",IFERROR(INDEX(Productos!$A$5:$A$104,MATCH(C433,Productos!$B$5:$B$104,0)),""))</f>
        <v/>
      </c>
      <c r="E433" s="7" t="str">
        <f aca="false">IF(C433="","",IFERROR(INDEX(Productos!$C$5:$C$104,MATCH(C433,Productos!$B$5:$B$104,0)),""))</f>
        <v/>
      </c>
      <c r="F433" s="21"/>
      <c r="G433" s="11" t="str">
        <f aca="false">IF(C433="","",IFERROR(INDEX(Productos!$G$5:$G$104,MATCH(C433,Productos!$B$5:$B$104,0)),0))</f>
        <v/>
      </c>
      <c r="H433" s="26"/>
      <c r="I433" s="11" t="str">
        <f aca="false">IF(C433="","",F433*G433*(1-H433))</f>
        <v/>
      </c>
      <c r="J433" s="20"/>
      <c r="K433" s="20"/>
      <c r="L433" s="11" t="str">
        <f aca="false">IF(C433="","",F433*IFERROR(INDEX(Productos!$F$5:$F$104,MATCH(C433,Productos!$B$5:$B$104,0)),0))</f>
        <v/>
      </c>
      <c r="M433" s="11" t="str">
        <f aca="false">IF(C433="","",I433-L433)</f>
        <v/>
      </c>
    </row>
    <row r="434" customFormat="false" ht="15" hidden="false" customHeight="false" outlineLevel="0" collapsed="false">
      <c r="A434" s="25"/>
      <c r="B434" s="20"/>
      <c r="C434" s="20"/>
      <c r="D434" s="7" t="str">
        <f aca="false">IF(C434="","",IFERROR(INDEX(Productos!$A$5:$A$104,MATCH(C434,Productos!$B$5:$B$104,0)),""))</f>
        <v/>
      </c>
      <c r="E434" s="7" t="str">
        <f aca="false">IF(C434="","",IFERROR(INDEX(Productos!$C$5:$C$104,MATCH(C434,Productos!$B$5:$B$104,0)),""))</f>
        <v/>
      </c>
      <c r="F434" s="21"/>
      <c r="G434" s="11" t="str">
        <f aca="false">IF(C434="","",IFERROR(INDEX(Productos!$G$5:$G$104,MATCH(C434,Productos!$B$5:$B$104,0)),0))</f>
        <v/>
      </c>
      <c r="H434" s="26"/>
      <c r="I434" s="11" t="str">
        <f aca="false">IF(C434="","",F434*G434*(1-H434))</f>
        <v/>
      </c>
      <c r="J434" s="20"/>
      <c r="K434" s="20"/>
      <c r="L434" s="11" t="str">
        <f aca="false">IF(C434="","",F434*IFERROR(INDEX(Productos!$F$5:$F$104,MATCH(C434,Productos!$B$5:$B$104,0)),0))</f>
        <v/>
      </c>
      <c r="M434" s="11" t="str">
        <f aca="false">IF(C434="","",I434-L434)</f>
        <v/>
      </c>
    </row>
    <row r="435" customFormat="false" ht="15" hidden="false" customHeight="false" outlineLevel="0" collapsed="false">
      <c r="A435" s="25"/>
      <c r="B435" s="20"/>
      <c r="C435" s="20"/>
      <c r="D435" s="7" t="str">
        <f aca="false">IF(C435="","",IFERROR(INDEX(Productos!$A$5:$A$104,MATCH(C435,Productos!$B$5:$B$104,0)),""))</f>
        <v/>
      </c>
      <c r="E435" s="7" t="str">
        <f aca="false">IF(C435="","",IFERROR(INDEX(Productos!$C$5:$C$104,MATCH(C435,Productos!$B$5:$B$104,0)),""))</f>
        <v/>
      </c>
      <c r="F435" s="21"/>
      <c r="G435" s="11" t="str">
        <f aca="false">IF(C435="","",IFERROR(INDEX(Productos!$G$5:$G$104,MATCH(C435,Productos!$B$5:$B$104,0)),0))</f>
        <v/>
      </c>
      <c r="H435" s="26"/>
      <c r="I435" s="11" t="str">
        <f aca="false">IF(C435="","",F435*G435*(1-H435))</f>
        <v/>
      </c>
      <c r="J435" s="20"/>
      <c r="K435" s="20"/>
      <c r="L435" s="11" t="str">
        <f aca="false">IF(C435="","",F435*IFERROR(INDEX(Productos!$F$5:$F$104,MATCH(C435,Productos!$B$5:$B$104,0)),0))</f>
        <v/>
      </c>
      <c r="M435" s="11" t="str">
        <f aca="false">IF(C435="","",I435-L435)</f>
        <v/>
      </c>
    </row>
    <row r="436" customFormat="false" ht="15" hidden="false" customHeight="false" outlineLevel="0" collapsed="false">
      <c r="A436" s="25"/>
      <c r="B436" s="20"/>
      <c r="C436" s="20"/>
      <c r="D436" s="7" t="str">
        <f aca="false">IF(C436="","",IFERROR(INDEX(Productos!$A$5:$A$104,MATCH(C436,Productos!$B$5:$B$104,0)),""))</f>
        <v/>
      </c>
      <c r="E436" s="7" t="str">
        <f aca="false">IF(C436="","",IFERROR(INDEX(Productos!$C$5:$C$104,MATCH(C436,Productos!$B$5:$B$104,0)),""))</f>
        <v/>
      </c>
      <c r="F436" s="21"/>
      <c r="G436" s="11" t="str">
        <f aca="false">IF(C436="","",IFERROR(INDEX(Productos!$G$5:$G$104,MATCH(C436,Productos!$B$5:$B$104,0)),0))</f>
        <v/>
      </c>
      <c r="H436" s="26"/>
      <c r="I436" s="11" t="str">
        <f aca="false">IF(C436="","",F436*G436*(1-H436))</f>
        <v/>
      </c>
      <c r="J436" s="20"/>
      <c r="K436" s="20"/>
      <c r="L436" s="11" t="str">
        <f aca="false">IF(C436="","",F436*IFERROR(INDEX(Productos!$F$5:$F$104,MATCH(C436,Productos!$B$5:$B$104,0)),0))</f>
        <v/>
      </c>
      <c r="M436" s="11" t="str">
        <f aca="false">IF(C436="","",I436-L436)</f>
        <v/>
      </c>
    </row>
    <row r="437" customFormat="false" ht="15" hidden="false" customHeight="false" outlineLevel="0" collapsed="false">
      <c r="A437" s="25"/>
      <c r="B437" s="20"/>
      <c r="C437" s="20"/>
      <c r="D437" s="7" t="str">
        <f aca="false">IF(C437="","",IFERROR(INDEX(Productos!$A$5:$A$104,MATCH(C437,Productos!$B$5:$B$104,0)),""))</f>
        <v/>
      </c>
      <c r="E437" s="7" t="str">
        <f aca="false">IF(C437="","",IFERROR(INDEX(Productos!$C$5:$C$104,MATCH(C437,Productos!$B$5:$B$104,0)),""))</f>
        <v/>
      </c>
      <c r="F437" s="21"/>
      <c r="G437" s="11" t="str">
        <f aca="false">IF(C437="","",IFERROR(INDEX(Productos!$G$5:$G$104,MATCH(C437,Productos!$B$5:$B$104,0)),0))</f>
        <v/>
      </c>
      <c r="H437" s="26"/>
      <c r="I437" s="11" t="str">
        <f aca="false">IF(C437="","",F437*G437*(1-H437))</f>
        <v/>
      </c>
      <c r="J437" s="20"/>
      <c r="K437" s="20"/>
      <c r="L437" s="11" t="str">
        <f aca="false">IF(C437="","",F437*IFERROR(INDEX(Productos!$F$5:$F$104,MATCH(C437,Productos!$B$5:$B$104,0)),0))</f>
        <v/>
      </c>
      <c r="M437" s="11" t="str">
        <f aca="false">IF(C437="","",I437-L437)</f>
        <v/>
      </c>
    </row>
    <row r="438" customFormat="false" ht="15" hidden="false" customHeight="false" outlineLevel="0" collapsed="false">
      <c r="A438" s="25"/>
      <c r="B438" s="20"/>
      <c r="C438" s="20"/>
      <c r="D438" s="7" t="str">
        <f aca="false">IF(C438="","",IFERROR(INDEX(Productos!$A$5:$A$104,MATCH(C438,Productos!$B$5:$B$104,0)),""))</f>
        <v/>
      </c>
      <c r="E438" s="7" t="str">
        <f aca="false">IF(C438="","",IFERROR(INDEX(Productos!$C$5:$C$104,MATCH(C438,Productos!$B$5:$B$104,0)),""))</f>
        <v/>
      </c>
      <c r="F438" s="21"/>
      <c r="G438" s="11" t="str">
        <f aca="false">IF(C438="","",IFERROR(INDEX(Productos!$G$5:$G$104,MATCH(C438,Productos!$B$5:$B$104,0)),0))</f>
        <v/>
      </c>
      <c r="H438" s="26"/>
      <c r="I438" s="11" t="str">
        <f aca="false">IF(C438="","",F438*G438*(1-H438))</f>
        <v/>
      </c>
      <c r="J438" s="20"/>
      <c r="K438" s="20"/>
      <c r="L438" s="11" t="str">
        <f aca="false">IF(C438="","",F438*IFERROR(INDEX(Productos!$F$5:$F$104,MATCH(C438,Productos!$B$5:$B$104,0)),0))</f>
        <v/>
      </c>
      <c r="M438" s="11" t="str">
        <f aca="false">IF(C438="","",I438-L438)</f>
        <v/>
      </c>
    </row>
    <row r="439" customFormat="false" ht="15" hidden="false" customHeight="false" outlineLevel="0" collapsed="false">
      <c r="A439" s="25"/>
      <c r="B439" s="20"/>
      <c r="C439" s="20"/>
      <c r="D439" s="7" t="str">
        <f aca="false">IF(C439="","",IFERROR(INDEX(Productos!$A$5:$A$104,MATCH(C439,Productos!$B$5:$B$104,0)),""))</f>
        <v/>
      </c>
      <c r="E439" s="7" t="str">
        <f aca="false">IF(C439="","",IFERROR(INDEX(Productos!$C$5:$C$104,MATCH(C439,Productos!$B$5:$B$104,0)),""))</f>
        <v/>
      </c>
      <c r="F439" s="21"/>
      <c r="G439" s="11" t="str">
        <f aca="false">IF(C439="","",IFERROR(INDEX(Productos!$G$5:$G$104,MATCH(C439,Productos!$B$5:$B$104,0)),0))</f>
        <v/>
      </c>
      <c r="H439" s="26"/>
      <c r="I439" s="11" t="str">
        <f aca="false">IF(C439="","",F439*G439*(1-H439))</f>
        <v/>
      </c>
      <c r="J439" s="20"/>
      <c r="K439" s="20"/>
      <c r="L439" s="11" t="str">
        <f aca="false">IF(C439="","",F439*IFERROR(INDEX(Productos!$F$5:$F$104,MATCH(C439,Productos!$B$5:$B$104,0)),0))</f>
        <v/>
      </c>
      <c r="M439" s="11" t="str">
        <f aca="false">IF(C439="","",I439-L439)</f>
        <v/>
      </c>
    </row>
    <row r="440" customFormat="false" ht="15" hidden="false" customHeight="false" outlineLevel="0" collapsed="false">
      <c r="A440" s="25"/>
      <c r="B440" s="20"/>
      <c r="C440" s="20"/>
      <c r="D440" s="7" t="str">
        <f aca="false">IF(C440="","",IFERROR(INDEX(Productos!$A$5:$A$104,MATCH(C440,Productos!$B$5:$B$104,0)),""))</f>
        <v/>
      </c>
      <c r="E440" s="7" t="str">
        <f aca="false">IF(C440="","",IFERROR(INDEX(Productos!$C$5:$C$104,MATCH(C440,Productos!$B$5:$B$104,0)),""))</f>
        <v/>
      </c>
      <c r="F440" s="21"/>
      <c r="G440" s="11" t="str">
        <f aca="false">IF(C440="","",IFERROR(INDEX(Productos!$G$5:$G$104,MATCH(C440,Productos!$B$5:$B$104,0)),0))</f>
        <v/>
      </c>
      <c r="H440" s="26"/>
      <c r="I440" s="11" t="str">
        <f aca="false">IF(C440="","",F440*G440*(1-H440))</f>
        <v/>
      </c>
      <c r="J440" s="20"/>
      <c r="K440" s="20"/>
      <c r="L440" s="11" t="str">
        <f aca="false">IF(C440="","",F440*IFERROR(INDEX(Productos!$F$5:$F$104,MATCH(C440,Productos!$B$5:$B$104,0)),0))</f>
        <v/>
      </c>
      <c r="M440" s="11" t="str">
        <f aca="false">IF(C440="","",I440-L440)</f>
        <v/>
      </c>
    </row>
    <row r="441" customFormat="false" ht="15" hidden="false" customHeight="false" outlineLevel="0" collapsed="false">
      <c r="A441" s="25"/>
      <c r="B441" s="20"/>
      <c r="C441" s="20"/>
      <c r="D441" s="7" t="str">
        <f aca="false">IF(C441="","",IFERROR(INDEX(Productos!$A$5:$A$104,MATCH(C441,Productos!$B$5:$B$104,0)),""))</f>
        <v/>
      </c>
      <c r="E441" s="7" t="str">
        <f aca="false">IF(C441="","",IFERROR(INDEX(Productos!$C$5:$C$104,MATCH(C441,Productos!$B$5:$B$104,0)),""))</f>
        <v/>
      </c>
      <c r="F441" s="21"/>
      <c r="G441" s="11" t="str">
        <f aca="false">IF(C441="","",IFERROR(INDEX(Productos!$G$5:$G$104,MATCH(C441,Productos!$B$5:$B$104,0)),0))</f>
        <v/>
      </c>
      <c r="H441" s="26"/>
      <c r="I441" s="11" t="str">
        <f aca="false">IF(C441="","",F441*G441*(1-H441))</f>
        <v/>
      </c>
      <c r="J441" s="20"/>
      <c r="K441" s="20"/>
      <c r="L441" s="11" t="str">
        <f aca="false">IF(C441="","",F441*IFERROR(INDEX(Productos!$F$5:$F$104,MATCH(C441,Productos!$B$5:$B$104,0)),0))</f>
        <v/>
      </c>
      <c r="M441" s="11" t="str">
        <f aca="false">IF(C441="","",I441-L441)</f>
        <v/>
      </c>
    </row>
    <row r="442" customFormat="false" ht="15" hidden="false" customHeight="false" outlineLevel="0" collapsed="false">
      <c r="A442" s="25"/>
      <c r="B442" s="20"/>
      <c r="C442" s="20"/>
      <c r="D442" s="7" t="str">
        <f aca="false">IF(C442="","",IFERROR(INDEX(Productos!$A$5:$A$104,MATCH(C442,Productos!$B$5:$B$104,0)),""))</f>
        <v/>
      </c>
      <c r="E442" s="7" t="str">
        <f aca="false">IF(C442="","",IFERROR(INDEX(Productos!$C$5:$C$104,MATCH(C442,Productos!$B$5:$B$104,0)),""))</f>
        <v/>
      </c>
      <c r="F442" s="21"/>
      <c r="G442" s="11" t="str">
        <f aca="false">IF(C442="","",IFERROR(INDEX(Productos!$G$5:$G$104,MATCH(C442,Productos!$B$5:$B$104,0)),0))</f>
        <v/>
      </c>
      <c r="H442" s="26"/>
      <c r="I442" s="11" t="str">
        <f aca="false">IF(C442="","",F442*G442*(1-H442))</f>
        <v/>
      </c>
      <c r="J442" s="20"/>
      <c r="K442" s="20"/>
      <c r="L442" s="11" t="str">
        <f aca="false">IF(C442="","",F442*IFERROR(INDEX(Productos!$F$5:$F$104,MATCH(C442,Productos!$B$5:$B$104,0)),0))</f>
        <v/>
      </c>
      <c r="M442" s="11" t="str">
        <f aca="false">IF(C442="","",I442-L442)</f>
        <v/>
      </c>
    </row>
    <row r="443" customFormat="false" ht="15" hidden="false" customHeight="false" outlineLevel="0" collapsed="false">
      <c r="A443" s="25"/>
      <c r="B443" s="20"/>
      <c r="C443" s="20"/>
      <c r="D443" s="7" t="str">
        <f aca="false">IF(C443="","",IFERROR(INDEX(Productos!$A$5:$A$104,MATCH(C443,Productos!$B$5:$B$104,0)),""))</f>
        <v/>
      </c>
      <c r="E443" s="7" t="str">
        <f aca="false">IF(C443="","",IFERROR(INDEX(Productos!$C$5:$C$104,MATCH(C443,Productos!$B$5:$B$104,0)),""))</f>
        <v/>
      </c>
      <c r="F443" s="21"/>
      <c r="G443" s="11" t="str">
        <f aca="false">IF(C443="","",IFERROR(INDEX(Productos!$G$5:$G$104,MATCH(C443,Productos!$B$5:$B$104,0)),0))</f>
        <v/>
      </c>
      <c r="H443" s="26"/>
      <c r="I443" s="11" t="str">
        <f aca="false">IF(C443="","",F443*G443*(1-H443))</f>
        <v/>
      </c>
      <c r="J443" s="20"/>
      <c r="K443" s="20"/>
      <c r="L443" s="11" t="str">
        <f aca="false">IF(C443="","",F443*IFERROR(INDEX(Productos!$F$5:$F$104,MATCH(C443,Productos!$B$5:$B$104,0)),0))</f>
        <v/>
      </c>
      <c r="M443" s="11" t="str">
        <f aca="false">IF(C443="","",I443-L443)</f>
        <v/>
      </c>
    </row>
    <row r="444" customFormat="false" ht="15" hidden="false" customHeight="false" outlineLevel="0" collapsed="false">
      <c r="A444" s="25"/>
      <c r="B444" s="20"/>
      <c r="C444" s="20"/>
      <c r="D444" s="7" t="str">
        <f aca="false">IF(C444="","",IFERROR(INDEX(Productos!$A$5:$A$104,MATCH(C444,Productos!$B$5:$B$104,0)),""))</f>
        <v/>
      </c>
      <c r="E444" s="7" t="str">
        <f aca="false">IF(C444="","",IFERROR(INDEX(Productos!$C$5:$C$104,MATCH(C444,Productos!$B$5:$B$104,0)),""))</f>
        <v/>
      </c>
      <c r="F444" s="21"/>
      <c r="G444" s="11" t="str">
        <f aca="false">IF(C444="","",IFERROR(INDEX(Productos!$G$5:$G$104,MATCH(C444,Productos!$B$5:$B$104,0)),0))</f>
        <v/>
      </c>
      <c r="H444" s="26"/>
      <c r="I444" s="11" t="str">
        <f aca="false">IF(C444="","",F444*G444*(1-H444))</f>
        <v/>
      </c>
      <c r="J444" s="20"/>
      <c r="K444" s="20"/>
      <c r="L444" s="11" t="str">
        <f aca="false">IF(C444="","",F444*IFERROR(INDEX(Productos!$F$5:$F$104,MATCH(C444,Productos!$B$5:$B$104,0)),0))</f>
        <v/>
      </c>
      <c r="M444" s="11" t="str">
        <f aca="false">IF(C444="","",I444-L444)</f>
        <v/>
      </c>
    </row>
    <row r="445" customFormat="false" ht="15" hidden="false" customHeight="false" outlineLevel="0" collapsed="false">
      <c r="A445" s="25"/>
      <c r="B445" s="20"/>
      <c r="C445" s="20"/>
      <c r="D445" s="7" t="str">
        <f aca="false">IF(C445="","",IFERROR(INDEX(Productos!$A$5:$A$104,MATCH(C445,Productos!$B$5:$B$104,0)),""))</f>
        <v/>
      </c>
      <c r="E445" s="7" t="str">
        <f aca="false">IF(C445="","",IFERROR(INDEX(Productos!$C$5:$C$104,MATCH(C445,Productos!$B$5:$B$104,0)),""))</f>
        <v/>
      </c>
      <c r="F445" s="21"/>
      <c r="G445" s="11" t="str">
        <f aca="false">IF(C445="","",IFERROR(INDEX(Productos!$G$5:$G$104,MATCH(C445,Productos!$B$5:$B$104,0)),0))</f>
        <v/>
      </c>
      <c r="H445" s="26"/>
      <c r="I445" s="11" t="str">
        <f aca="false">IF(C445="","",F445*G445*(1-H445))</f>
        <v/>
      </c>
      <c r="J445" s="20"/>
      <c r="K445" s="20"/>
      <c r="L445" s="11" t="str">
        <f aca="false">IF(C445="","",F445*IFERROR(INDEX(Productos!$F$5:$F$104,MATCH(C445,Productos!$B$5:$B$104,0)),0))</f>
        <v/>
      </c>
      <c r="M445" s="11" t="str">
        <f aca="false">IF(C445="","",I445-L445)</f>
        <v/>
      </c>
    </row>
    <row r="446" customFormat="false" ht="15" hidden="false" customHeight="false" outlineLevel="0" collapsed="false">
      <c r="A446" s="25"/>
      <c r="B446" s="20"/>
      <c r="C446" s="20"/>
      <c r="D446" s="7" t="str">
        <f aca="false">IF(C446="","",IFERROR(INDEX(Productos!$A$5:$A$104,MATCH(C446,Productos!$B$5:$B$104,0)),""))</f>
        <v/>
      </c>
      <c r="E446" s="7" t="str">
        <f aca="false">IF(C446="","",IFERROR(INDEX(Productos!$C$5:$C$104,MATCH(C446,Productos!$B$5:$B$104,0)),""))</f>
        <v/>
      </c>
      <c r="F446" s="21"/>
      <c r="G446" s="11" t="str">
        <f aca="false">IF(C446="","",IFERROR(INDEX(Productos!$G$5:$G$104,MATCH(C446,Productos!$B$5:$B$104,0)),0))</f>
        <v/>
      </c>
      <c r="H446" s="26"/>
      <c r="I446" s="11" t="str">
        <f aca="false">IF(C446="","",F446*G446*(1-H446))</f>
        <v/>
      </c>
      <c r="J446" s="20"/>
      <c r="K446" s="20"/>
      <c r="L446" s="11" t="str">
        <f aca="false">IF(C446="","",F446*IFERROR(INDEX(Productos!$F$5:$F$104,MATCH(C446,Productos!$B$5:$B$104,0)),0))</f>
        <v/>
      </c>
      <c r="M446" s="11" t="str">
        <f aca="false">IF(C446="","",I446-L446)</f>
        <v/>
      </c>
    </row>
    <row r="447" customFormat="false" ht="15" hidden="false" customHeight="false" outlineLevel="0" collapsed="false">
      <c r="A447" s="25"/>
      <c r="B447" s="20"/>
      <c r="C447" s="20"/>
      <c r="D447" s="7" t="str">
        <f aca="false">IF(C447="","",IFERROR(INDEX(Productos!$A$5:$A$104,MATCH(C447,Productos!$B$5:$B$104,0)),""))</f>
        <v/>
      </c>
      <c r="E447" s="7" t="str">
        <f aca="false">IF(C447="","",IFERROR(INDEX(Productos!$C$5:$C$104,MATCH(C447,Productos!$B$5:$B$104,0)),""))</f>
        <v/>
      </c>
      <c r="F447" s="21"/>
      <c r="G447" s="11" t="str">
        <f aca="false">IF(C447="","",IFERROR(INDEX(Productos!$G$5:$G$104,MATCH(C447,Productos!$B$5:$B$104,0)),0))</f>
        <v/>
      </c>
      <c r="H447" s="26"/>
      <c r="I447" s="11" t="str">
        <f aca="false">IF(C447="","",F447*G447*(1-H447))</f>
        <v/>
      </c>
      <c r="J447" s="20"/>
      <c r="K447" s="20"/>
      <c r="L447" s="11" t="str">
        <f aca="false">IF(C447="","",F447*IFERROR(INDEX(Productos!$F$5:$F$104,MATCH(C447,Productos!$B$5:$B$104,0)),0))</f>
        <v/>
      </c>
      <c r="M447" s="11" t="str">
        <f aca="false">IF(C447="","",I447-L447)</f>
        <v/>
      </c>
    </row>
    <row r="448" customFormat="false" ht="15" hidden="false" customHeight="false" outlineLevel="0" collapsed="false">
      <c r="A448" s="25"/>
      <c r="B448" s="20"/>
      <c r="C448" s="20"/>
      <c r="D448" s="7" t="str">
        <f aca="false">IF(C448="","",IFERROR(INDEX(Productos!$A$5:$A$104,MATCH(C448,Productos!$B$5:$B$104,0)),""))</f>
        <v/>
      </c>
      <c r="E448" s="7" t="str">
        <f aca="false">IF(C448="","",IFERROR(INDEX(Productos!$C$5:$C$104,MATCH(C448,Productos!$B$5:$B$104,0)),""))</f>
        <v/>
      </c>
      <c r="F448" s="21"/>
      <c r="G448" s="11" t="str">
        <f aca="false">IF(C448="","",IFERROR(INDEX(Productos!$G$5:$G$104,MATCH(C448,Productos!$B$5:$B$104,0)),0))</f>
        <v/>
      </c>
      <c r="H448" s="26"/>
      <c r="I448" s="11" t="str">
        <f aca="false">IF(C448="","",F448*G448*(1-H448))</f>
        <v/>
      </c>
      <c r="J448" s="20"/>
      <c r="K448" s="20"/>
      <c r="L448" s="11" t="str">
        <f aca="false">IF(C448="","",F448*IFERROR(INDEX(Productos!$F$5:$F$104,MATCH(C448,Productos!$B$5:$B$104,0)),0))</f>
        <v/>
      </c>
      <c r="M448" s="11" t="str">
        <f aca="false">IF(C448="","",I448-L448)</f>
        <v/>
      </c>
    </row>
    <row r="449" customFormat="false" ht="15" hidden="false" customHeight="false" outlineLevel="0" collapsed="false">
      <c r="A449" s="25"/>
      <c r="B449" s="20"/>
      <c r="C449" s="20"/>
      <c r="D449" s="7" t="str">
        <f aca="false">IF(C449="","",IFERROR(INDEX(Productos!$A$5:$A$104,MATCH(C449,Productos!$B$5:$B$104,0)),""))</f>
        <v/>
      </c>
      <c r="E449" s="7" t="str">
        <f aca="false">IF(C449="","",IFERROR(INDEX(Productos!$C$5:$C$104,MATCH(C449,Productos!$B$5:$B$104,0)),""))</f>
        <v/>
      </c>
      <c r="F449" s="21"/>
      <c r="G449" s="11" t="str">
        <f aca="false">IF(C449="","",IFERROR(INDEX(Productos!$G$5:$G$104,MATCH(C449,Productos!$B$5:$B$104,0)),0))</f>
        <v/>
      </c>
      <c r="H449" s="26"/>
      <c r="I449" s="11" t="str">
        <f aca="false">IF(C449="","",F449*G449*(1-H449))</f>
        <v/>
      </c>
      <c r="J449" s="20"/>
      <c r="K449" s="20"/>
      <c r="L449" s="11" t="str">
        <f aca="false">IF(C449="","",F449*IFERROR(INDEX(Productos!$F$5:$F$104,MATCH(C449,Productos!$B$5:$B$104,0)),0))</f>
        <v/>
      </c>
      <c r="M449" s="11" t="str">
        <f aca="false">IF(C449="","",I449-L449)</f>
        <v/>
      </c>
    </row>
    <row r="450" customFormat="false" ht="15" hidden="false" customHeight="false" outlineLevel="0" collapsed="false">
      <c r="A450" s="25"/>
      <c r="B450" s="20"/>
      <c r="C450" s="20"/>
      <c r="D450" s="7" t="str">
        <f aca="false">IF(C450="","",IFERROR(INDEX(Productos!$A$5:$A$104,MATCH(C450,Productos!$B$5:$B$104,0)),""))</f>
        <v/>
      </c>
      <c r="E450" s="7" t="str">
        <f aca="false">IF(C450="","",IFERROR(INDEX(Productos!$C$5:$C$104,MATCH(C450,Productos!$B$5:$B$104,0)),""))</f>
        <v/>
      </c>
      <c r="F450" s="21"/>
      <c r="G450" s="11" t="str">
        <f aca="false">IF(C450="","",IFERROR(INDEX(Productos!$G$5:$G$104,MATCH(C450,Productos!$B$5:$B$104,0)),0))</f>
        <v/>
      </c>
      <c r="H450" s="26"/>
      <c r="I450" s="11" t="str">
        <f aca="false">IF(C450="","",F450*G450*(1-H450))</f>
        <v/>
      </c>
      <c r="J450" s="20"/>
      <c r="K450" s="20"/>
      <c r="L450" s="11" t="str">
        <f aca="false">IF(C450="","",F450*IFERROR(INDEX(Productos!$F$5:$F$104,MATCH(C450,Productos!$B$5:$B$104,0)),0))</f>
        <v/>
      </c>
      <c r="M450" s="11" t="str">
        <f aca="false">IF(C450="","",I450-L450)</f>
        <v/>
      </c>
    </row>
    <row r="451" customFormat="false" ht="15" hidden="false" customHeight="false" outlineLevel="0" collapsed="false">
      <c r="A451" s="25"/>
      <c r="B451" s="20"/>
      <c r="C451" s="20"/>
      <c r="D451" s="7" t="str">
        <f aca="false">IF(C451="","",IFERROR(INDEX(Productos!$A$5:$A$104,MATCH(C451,Productos!$B$5:$B$104,0)),""))</f>
        <v/>
      </c>
      <c r="E451" s="7" t="str">
        <f aca="false">IF(C451="","",IFERROR(INDEX(Productos!$C$5:$C$104,MATCH(C451,Productos!$B$5:$B$104,0)),""))</f>
        <v/>
      </c>
      <c r="F451" s="21"/>
      <c r="G451" s="11" t="str">
        <f aca="false">IF(C451="","",IFERROR(INDEX(Productos!$G$5:$G$104,MATCH(C451,Productos!$B$5:$B$104,0)),0))</f>
        <v/>
      </c>
      <c r="H451" s="26"/>
      <c r="I451" s="11" t="str">
        <f aca="false">IF(C451="","",F451*G451*(1-H451))</f>
        <v/>
      </c>
      <c r="J451" s="20"/>
      <c r="K451" s="20"/>
      <c r="L451" s="11" t="str">
        <f aca="false">IF(C451="","",F451*IFERROR(INDEX(Productos!$F$5:$F$104,MATCH(C451,Productos!$B$5:$B$104,0)),0))</f>
        <v/>
      </c>
      <c r="M451" s="11" t="str">
        <f aca="false">IF(C451="","",I451-L451)</f>
        <v/>
      </c>
    </row>
    <row r="452" customFormat="false" ht="15" hidden="false" customHeight="false" outlineLevel="0" collapsed="false">
      <c r="A452" s="25"/>
      <c r="B452" s="20"/>
      <c r="C452" s="20"/>
      <c r="D452" s="7" t="str">
        <f aca="false">IF(C452="","",IFERROR(INDEX(Productos!$A$5:$A$104,MATCH(C452,Productos!$B$5:$B$104,0)),""))</f>
        <v/>
      </c>
      <c r="E452" s="7" t="str">
        <f aca="false">IF(C452="","",IFERROR(INDEX(Productos!$C$5:$C$104,MATCH(C452,Productos!$B$5:$B$104,0)),""))</f>
        <v/>
      </c>
      <c r="F452" s="21"/>
      <c r="G452" s="11" t="str">
        <f aca="false">IF(C452="","",IFERROR(INDEX(Productos!$G$5:$G$104,MATCH(C452,Productos!$B$5:$B$104,0)),0))</f>
        <v/>
      </c>
      <c r="H452" s="26"/>
      <c r="I452" s="11" t="str">
        <f aca="false">IF(C452="","",F452*G452*(1-H452))</f>
        <v/>
      </c>
      <c r="J452" s="20"/>
      <c r="K452" s="20"/>
      <c r="L452" s="11" t="str">
        <f aca="false">IF(C452="","",F452*IFERROR(INDEX(Productos!$F$5:$F$104,MATCH(C452,Productos!$B$5:$B$104,0)),0))</f>
        <v/>
      </c>
      <c r="M452" s="11" t="str">
        <f aca="false">IF(C452="","",I452-L452)</f>
        <v/>
      </c>
    </row>
    <row r="453" customFormat="false" ht="15" hidden="false" customHeight="false" outlineLevel="0" collapsed="false">
      <c r="A453" s="25"/>
      <c r="B453" s="20"/>
      <c r="C453" s="20"/>
      <c r="D453" s="7" t="str">
        <f aca="false">IF(C453="","",IFERROR(INDEX(Productos!$A$5:$A$104,MATCH(C453,Productos!$B$5:$B$104,0)),""))</f>
        <v/>
      </c>
      <c r="E453" s="7" t="str">
        <f aca="false">IF(C453="","",IFERROR(INDEX(Productos!$C$5:$C$104,MATCH(C453,Productos!$B$5:$B$104,0)),""))</f>
        <v/>
      </c>
      <c r="F453" s="21"/>
      <c r="G453" s="11" t="str">
        <f aca="false">IF(C453="","",IFERROR(INDEX(Productos!$G$5:$G$104,MATCH(C453,Productos!$B$5:$B$104,0)),0))</f>
        <v/>
      </c>
      <c r="H453" s="26"/>
      <c r="I453" s="11" t="str">
        <f aca="false">IF(C453="","",F453*G453*(1-H453))</f>
        <v/>
      </c>
      <c r="J453" s="20"/>
      <c r="K453" s="20"/>
      <c r="L453" s="11" t="str">
        <f aca="false">IF(C453="","",F453*IFERROR(INDEX(Productos!$F$5:$F$104,MATCH(C453,Productos!$B$5:$B$104,0)),0))</f>
        <v/>
      </c>
      <c r="M453" s="11" t="str">
        <f aca="false">IF(C453="","",I453-L453)</f>
        <v/>
      </c>
    </row>
    <row r="454" customFormat="false" ht="15" hidden="false" customHeight="false" outlineLevel="0" collapsed="false">
      <c r="A454" s="25"/>
      <c r="B454" s="20"/>
      <c r="C454" s="20"/>
      <c r="D454" s="7" t="str">
        <f aca="false">IF(C454="","",IFERROR(INDEX(Productos!$A$5:$A$104,MATCH(C454,Productos!$B$5:$B$104,0)),""))</f>
        <v/>
      </c>
      <c r="E454" s="7" t="str">
        <f aca="false">IF(C454="","",IFERROR(INDEX(Productos!$C$5:$C$104,MATCH(C454,Productos!$B$5:$B$104,0)),""))</f>
        <v/>
      </c>
      <c r="F454" s="21"/>
      <c r="G454" s="11" t="str">
        <f aca="false">IF(C454="","",IFERROR(INDEX(Productos!$G$5:$G$104,MATCH(C454,Productos!$B$5:$B$104,0)),0))</f>
        <v/>
      </c>
      <c r="H454" s="26"/>
      <c r="I454" s="11" t="str">
        <f aca="false">IF(C454="","",F454*G454*(1-H454))</f>
        <v/>
      </c>
      <c r="J454" s="20"/>
      <c r="K454" s="20"/>
      <c r="L454" s="11" t="str">
        <f aca="false">IF(C454="","",F454*IFERROR(INDEX(Productos!$F$5:$F$104,MATCH(C454,Productos!$B$5:$B$104,0)),0))</f>
        <v/>
      </c>
      <c r="M454" s="11" t="str">
        <f aca="false">IF(C454="","",I454-L454)</f>
        <v/>
      </c>
    </row>
    <row r="455" customFormat="false" ht="15" hidden="false" customHeight="false" outlineLevel="0" collapsed="false">
      <c r="A455" s="25"/>
      <c r="B455" s="20"/>
      <c r="C455" s="20"/>
      <c r="D455" s="7" t="str">
        <f aca="false">IF(C455="","",IFERROR(INDEX(Productos!$A$5:$A$104,MATCH(C455,Productos!$B$5:$B$104,0)),""))</f>
        <v/>
      </c>
      <c r="E455" s="7" t="str">
        <f aca="false">IF(C455="","",IFERROR(INDEX(Productos!$C$5:$C$104,MATCH(C455,Productos!$B$5:$B$104,0)),""))</f>
        <v/>
      </c>
      <c r="F455" s="21"/>
      <c r="G455" s="11" t="str">
        <f aca="false">IF(C455="","",IFERROR(INDEX(Productos!$G$5:$G$104,MATCH(C455,Productos!$B$5:$B$104,0)),0))</f>
        <v/>
      </c>
      <c r="H455" s="26"/>
      <c r="I455" s="11" t="str">
        <f aca="false">IF(C455="","",F455*G455*(1-H455))</f>
        <v/>
      </c>
      <c r="J455" s="20"/>
      <c r="K455" s="20"/>
      <c r="L455" s="11" t="str">
        <f aca="false">IF(C455="","",F455*IFERROR(INDEX(Productos!$F$5:$F$104,MATCH(C455,Productos!$B$5:$B$104,0)),0))</f>
        <v/>
      </c>
      <c r="M455" s="11" t="str">
        <f aca="false">IF(C455="","",I455-L455)</f>
        <v/>
      </c>
    </row>
    <row r="456" customFormat="false" ht="15" hidden="false" customHeight="false" outlineLevel="0" collapsed="false">
      <c r="A456" s="25"/>
      <c r="B456" s="20"/>
      <c r="C456" s="20"/>
      <c r="D456" s="7" t="str">
        <f aca="false">IF(C456="","",IFERROR(INDEX(Productos!$A$5:$A$104,MATCH(C456,Productos!$B$5:$B$104,0)),""))</f>
        <v/>
      </c>
      <c r="E456" s="7" t="str">
        <f aca="false">IF(C456="","",IFERROR(INDEX(Productos!$C$5:$C$104,MATCH(C456,Productos!$B$5:$B$104,0)),""))</f>
        <v/>
      </c>
      <c r="F456" s="21"/>
      <c r="G456" s="11" t="str">
        <f aca="false">IF(C456="","",IFERROR(INDEX(Productos!$G$5:$G$104,MATCH(C456,Productos!$B$5:$B$104,0)),0))</f>
        <v/>
      </c>
      <c r="H456" s="26"/>
      <c r="I456" s="11" t="str">
        <f aca="false">IF(C456="","",F456*G456*(1-H456))</f>
        <v/>
      </c>
      <c r="J456" s="20"/>
      <c r="K456" s="20"/>
      <c r="L456" s="11" t="str">
        <f aca="false">IF(C456="","",F456*IFERROR(INDEX(Productos!$F$5:$F$104,MATCH(C456,Productos!$B$5:$B$104,0)),0))</f>
        <v/>
      </c>
      <c r="M456" s="11" t="str">
        <f aca="false">IF(C456="","",I456-L456)</f>
        <v/>
      </c>
    </row>
    <row r="457" customFormat="false" ht="15" hidden="false" customHeight="false" outlineLevel="0" collapsed="false">
      <c r="A457" s="25"/>
      <c r="B457" s="20"/>
      <c r="C457" s="20"/>
      <c r="D457" s="7" t="str">
        <f aca="false">IF(C457="","",IFERROR(INDEX(Productos!$A$5:$A$104,MATCH(C457,Productos!$B$5:$B$104,0)),""))</f>
        <v/>
      </c>
      <c r="E457" s="7" t="str">
        <f aca="false">IF(C457="","",IFERROR(INDEX(Productos!$C$5:$C$104,MATCH(C457,Productos!$B$5:$B$104,0)),""))</f>
        <v/>
      </c>
      <c r="F457" s="21"/>
      <c r="G457" s="11" t="str">
        <f aca="false">IF(C457="","",IFERROR(INDEX(Productos!$G$5:$G$104,MATCH(C457,Productos!$B$5:$B$104,0)),0))</f>
        <v/>
      </c>
      <c r="H457" s="26"/>
      <c r="I457" s="11" t="str">
        <f aca="false">IF(C457="","",F457*G457*(1-H457))</f>
        <v/>
      </c>
      <c r="J457" s="20"/>
      <c r="K457" s="20"/>
      <c r="L457" s="11" t="str">
        <f aca="false">IF(C457="","",F457*IFERROR(INDEX(Productos!$F$5:$F$104,MATCH(C457,Productos!$B$5:$B$104,0)),0))</f>
        <v/>
      </c>
      <c r="M457" s="11" t="str">
        <f aca="false">IF(C457="","",I457-L457)</f>
        <v/>
      </c>
    </row>
    <row r="458" customFormat="false" ht="15" hidden="false" customHeight="false" outlineLevel="0" collapsed="false">
      <c r="A458" s="25"/>
      <c r="B458" s="20"/>
      <c r="C458" s="20"/>
      <c r="D458" s="7" t="str">
        <f aca="false">IF(C458="","",IFERROR(INDEX(Productos!$A$5:$A$104,MATCH(C458,Productos!$B$5:$B$104,0)),""))</f>
        <v/>
      </c>
      <c r="E458" s="7" t="str">
        <f aca="false">IF(C458="","",IFERROR(INDEX(Productos!$C$5:$C$104,MATCH(C458,Productos!$B$5:$B$104,0)),""))</f>
        <v/>
      </c>
      <c r="F458" s="21"/>
      <c r="G458" s="11" t="str">
        <f aca="false">IF(C458="","",IFERROR(INDEX(Productos!$G$5:$G$104,MATCH(C458,Productos!$B$5:$B$104,0)),0))</f>
        <v/>
      </c>
      <c r="H458" s="26"/>
      <c r="I458" s="11" t="str">
        <f aca="false">IF(C458="","",F458*G458*(1-H458))</f>
        <v/>
      </c>
      <c r="J458" s="20"/>
      <c r="K458" s="20"/>
      <c r="L458" s="11" t="str">
        <f aca="false">IF(C458="","",F458*IFERROR(INDEX(Productos!$F$5:$F$104,MATCH(C458,Productos!$B$5:$B$104,0)),0))</f>
        <v/>
      </c>
      <c r="M458" s="11" t="str">
        <f aca="false">IF(C458="","",I458-L458)</f>
        <v/>
      </c>
    </row>
    <row r="459" customFormat="false" ht="15" hidden="false" customHeight="false" outlineLevel="0" collapsed="false">
      <c r="A459" s="25"/>
      <c r="B459" s="20"/>
      <c r="C459" s="20"/>
      <c r="D459" s="7" t="str">
        <f aca="false">IF(C459="","",IFERROR(INDEX(Productos!$A$5:$A$104,MATCH(C459,Productos!$B$5:$B$104,0)),""))</f>
        <v/>
      </c>
      <c r="E459" s="7" t="str">
        <f aca="false">IF(C459="","",IFERROR(INDEX(Productos!$C$5:$C$104,MATCH(C459,Productos!$B$5:$B$104,0)),""))</f>
        <v/>
      </c>
      <c r="F459" s="21"/>
      <c r="G459" s="11" t="str">
        <f aca="false">IF(C459="","",IFERROR(INDEX(Productos!$G$5:$G$104,MATCH(C459,Productos!$B$5:$B$104,0)),0))</f>
        <v/>
      </c>
      <c r="H459" s="26"/>
      <c r="I459" s="11" t="str">
        <f aca="false">IF(C459="","",F459*G459*(1-H459))</f>
        <v/>
      </c>
      <c r="J459" s="20"/>
      <c r="K459" s="20"/>
      <c r="L459" s="11" t="str">
        <f aca="false">IF(C459="","",F459*IFERROR(INDEX(Productos!$F$5:$F$104,MATCH(C459,Productos!$B$5:$B$104,0)),0))</f>
        <v/>
      </c>
      <c r="M459" s="11" t="str">
        <f aca="false">IF(C459="","",I459-L459)</f>
        <v/>
      </c>
    </row>
    <row r="460" customFormat="false" ht="15" hidden="false" customHeight="false" outlineLevel="0" collapsed="false">
      <c r="A460" s="25"/>
      <c r="B460" s="20"/>
      <c r="C460" s="20"/>
      <c r="D460" s="7" t="str">
        <f aca="false">IF(C460="","",IFERROR(INDEX(Productos!$A$5:$A$104,MATCH(C460,Productos!$B$5:$B$104,0)),""))</f>
        <v/>
      </c>
      <c r="E460" s="7" t="str">
        <f aca="false">IF(C460="","",IFERROR(INDEX(Productos!$C$5:$C$104,MATCH(C460,Productos!$B$5:$B$104,0)),""))</f>
        <v/>
      </c>
      <c r="F460" s="21"/>
      <c r="G460" s="11" t="str">
        <f aca="false">IF(C460="","",IFERROR(INDEX(Productos!$G$5:$G$104,MATCH(C460,Productos!$B$5:$B$104,0)),0))</f>
        <v/>
      </c>
      <c r="H460" s="26"/>
      <c r="I460" s="11" t="str">
        <f aca="false">IF(C460="","",F460*G460*(1-H460))</f>
        <v/>
      </c>
      <c r="J460" s="20"/>
      <c r="K460" s="20"/>
      <c r="L460" s="11" t="str">
        <f aca="false">IF(C460="","",F460*IFERROR(INDEX(Productos!$F$5:$F$104,MATCH(C460,Productos!$B$5:$B$104,0)),0))</f>
        <v/>
      </c>
      <c r="M460" s="11" t="str">
        <f aca="false">IF(C460="","",I460-L460)</f>
        <v/>
      </c>
    </row>
    <row r="461" customFormat="false" ht="15" hidden="false" customHeight="false" outlineLevel="0" collapsed="false">
      <c r="A461" s="25"/>
      <c r="B461" s="20"/>
      <c r="C461" s="20"/>
      <c r="D461" s="7" t="str">
        <f aca="false">IF(C461="","",IFERROR(INDEX(Productos!$A$5:$A$104,MATCH(C461,Productos!$B$5:$B$104,0)),""))</f>
        <v/>
      </c>
      <c r="E461" s="7" t="str">
        <f aca="false">IF(C461="","",IFERROR(INDEX(Productos!$C$5:$C$104,MATCH(C461,Productos!$B$5:$B$104,0)),""))</f>
        <v/>
      </c>
      <c r="F461" s="21"/>
      <c r="G461" s="11" t="str">
        <f aca="false">IF(C461="","",IFERROR(INDEX(Productos!$G$5:$G$104,MATCH(C461,Productos!$B$5:$B$104,0)),0))</f>
        <v/>
      </c>
      <c r="H461" s="26"/>
      <c r="I461" s="11" t="str">
        <f aca="false">IF(C461="","",F461*G461*(1-H461))</f>
        <v/>
      </c>
      <c r="J461" s="20"/>
      <c r="K461" s="20"/>
      <c r="L461" s="11" t="str">
        <f aca="false">IF(C461="","",F461*IFERROR(INDEX(Productos!$F$5:$F$104,MATCH(C461,Productos!$B$5:$B$104,0)),0))</f>
        <v/>
      </c>
      <c r="M461" s="11" t="str">
        <f aca="false">IF(C461="","",I461-L461)</f>
        <v/>
      </c>
    </row>
    <row r="462" customFormat="false" ht="15" hidden="false" customHeight="false" outlineLevel="0" collapsed="false">
      <c r="A462" s="25"/>
      <c r="B462" s="20"/>
      <c r="C462" s="20"/>
      <c r="D462" s="7" t="str">
        <f aca="false">IF(C462="","",IFERROR(INDEX(Productos!$A$5:$A$104,MATCH(C462,Productos!$B$5:$B$104,0)),""))</f>
        <v/>
      </c>
      <c r="E462" s="7" t="str">
        <f aca="false">IF(C462="","",IFERROR(INDEX(Productos!$C$5:$C$104,MATCH(C462,Productos!$B$5:$B$104,0)),""))</f>
        <v/>
      </c>
      <c r="F462" s="21"/>
      <c r="G462" s="11" t="str">
        <f aca="false">IF(C462="","",IFERROR(INDEX(Productos!$G$5:$G$104,MATCH(C462,Productos!$B$5:$B$104,0)),0))</f>
        <v/>
      </c>
      <c r="H462" s="26"/>
      <c r="I462" s="11" t="str">
        <f aca="false">IF(C462="","",F462*G462*(1-H462))</f>
        <v/>
      </c>
      <c r="J462" s="20"/>
      <c r="K462" s="20"/>
      <c r="L462" s="11" t="str">
        <f aca="false">IF(C462="","",F462*IFERROR(INDEX(Productos!$F$5:$F$104,MATCH(C462,Productos!$B$5:$B$104,0)),0))</f>
        <v/>
      </c>
      <c r="M462" s="11" t="str">
        <f aca="false">IF(C462="","",I462-L462)</f>
        <v/>
      </c>
    </row>
    <row r="463" customFormat="false" ht="15" hidden="false" customHeight="false" outlineLevel="0" collapsed="false">
      <c r="A463" s="25"/>
      <c r="B463" s="20"/>
      <c r="C463" s="20"/>
      <c r="D463" s="7" t="str">
        <f aca="false">IF(C463="","",IFERROR(INDEX(Productos!$A$5:$A$104,MATCH(C463,Productos!$B$5:$B$104,0)),""))</f>
        <v/>
      </c>
      <c r="E463" s="7" t="str">
        <f aca="false">IF(C463="","",IFERROR(INDEX(Productos!$C$5:$C$104,MATCH(C463,Productos!$B$5:$B$104,0)),""))</f>
        <v/>
      </c>
      <c r="F463" s="21"/>
      <c r="G463" s="11" t="str">
        <f aca="false">IF(C463="","",IFERROR(INDEX(Productos!$G$5:$G$104,MATCH(C463,Productos!$B$5:$B$104,0)),0))</f>
        <v/>
      </c>
      <c r="H463" s="26"/>
      <c r="I463" s="11" t="str">
        <f aca="false">IF(C463="","",F463*G463*(1-H463))</f>
        <v/>
      </c>
      <c r="J463" s="20"/>
      <c r="K463" s="20"/>
      <c r="L463" s="11" t="str">
        <f aca="false">IF(C463="","",F463*IFERROR(INDEX(Productos!$F$5:$F$104,MATCH(C463,Productos!$B$5:$B$104,0)),0))</f>
        <v/>
      </c>
      <c r="M463" s="11" t="str">
        <f aca="false">IF(C463="","",I463-L463)</f>
        <v/>
      </c>
    </row>
    <row r="464" customFormat="false" ht="15" hidden="false" customHeight="false" outlineLevel="0" collapsed="false">
      <c r="A464" s="25"/>
      <c r="B464" s="20"/>
      <c r="C464" s="20"/>
      <c r="D464" s="7" t="str">
        <f aca="false">IF(C464="","",IFERROR(INDEX(Productos!$A$5:$A$104,MATCH(C464,Productos!$B$5:$B$104,0)),""))</f>
        <v/>
      </c>
      <c r="E464" s="7" t="str">
        <f aca="false">IF(C464="","",IFERROR(INDEX(Productos!$C$5:$C$104,MATCH(C464,Productos!$B$5:$B$104,0)),""))</f>
        <v/>
      </c>
      <c r="F464" s="21"/>
      <c r="G464" s="11" t="str">
        <f aca="false">IF(C464="","",IFERROR(INDEX(Productos!$G$5:$G$104,MATCH(C464,Productos!$B$5:$B$104,0)),0))</f>
        <v/>
      </c>
      <c r="H464" s="26"/>
      <c r="I464" s="11" t="str">
        <f aca="false">IF(C464="","",F464*G464*(1-H464))</f>
        <v/>
      </c>
      <c r="J464" s="20"/>
      <c r="K464" s="20"/>
      <c r="L464" s="11" t="str">
        <f aca="false">IF(C464="","",F464*IFERROR(INDEX(Productos!$F$5:$F$104,MATCH(C464,Productos!$B$5:$B$104,0)),0))</f>
        <v/>
      </c>
      <c r="M464" s="11" t="str">
        <f aca="false">IF(C464="","",I464-L464)</f>
        <v/>
      </c>
    </row>
    <row r="465" customFormat="false" ht="15" hidden="false" customHeight="false" outlineLevel="0" collapsed="false">
      <c r="A465" s="25"/>
      <c r="B465" s="20"/>
      <c r="C465" s="20"/>
      <c r="D465" s="7" t="str">
        <f aca="false">IF(C465="","",IFERROR(INDEX(Productos!$A$5:$A$104,MATCH(C465,Productos!$B$5:$B$104,0)),""))</f>
        <v/>
      </c>
      <c r="E465" s="7" t="str">
        <f aca="false">IF(C465="","",IFERROR(INDEX(Productos!$C$5:$C$104,MATCH(C465,Productos!$B$5:$B$104,0)),""))</f>
        <v/>
      </c>
      <c r="F465" s="21"/>
      <c r="G465" s="11" t="str">
        <f aca="false">IF(C465="","",IFERROR(INDEX(Productos!$G$5:$G$104,MATCH(C465,Productos!$B$5:$B$104,0)),0))</f>
        <v/>
      </c>
      <c r="H465" s="26"/>
      <c r="I465" s="11" t="str">
        <f aca="false">IF(C465="","",F465*G465*(1-H465))</f>
        <v/>
      </c>
      <c r="J465" s="20"/>
      <c r="K465" s="20"/>
      <c r="L465" s="11" t="str">
        <f aca="false">IF(C465="","",F465*IFERROR(INDEX(Productos!$F$5:$F$104,MATCH(C465,Productos!$B$5:$B$104,0)),0))</f>
        <v/>
      </c>
      <c r="M465" s="11" t="str">
        <f aca="false">IF(C465="","",I465-L465)</f>
        <v/>
      </c>
    </row>
    <row r="466" customFormat="false" ht="15" hidden="false" customHeight="false" outlineLevel="0" collapsed="false">
      <c r="A466" s="25"/>
      <c r="B466" s="20"/>
      <c r="C466" s="20"/>
      <c r="D466" s="7" t="str">
        <f aca="false">IF(C466="","",IFERROR(INDEX(Productos!$A$5:$A$104,MATCH(C466,Productos!$B$5:$B$104,0)),""))</f>
        <v/>
      </c>
      <c r="E466" s="7" t="str">
        <f aca="false">IF(C466="","",IFERROR(INDEX(Productos!$C$5:$C$104,MATCH(C466,Productos!$B$5:$B$104,0)),""))</f>
        <v/>
      </c>
      <c r="F466" s="21"/>
      <c r="G466" s="11" t="str">
        <f aca="false">IF(C466="","",IFERROR(INDEX(Productos!$G$5:$G$104,MATCH(C466,Productos!$B$5:$B$104,0)),0))</f>
        <v/>
      </c>
      <c r="H466" s="26"/>
      <c r="I466" s="11" t="str">
        <f aca="false">IF(C466="","",F466*G466*(1-H466))</f>
        <v/>
      </c>
      <c r="J466" s="20"/>
      <c r="K466" s="20"/>
      <c r="L466" s="11" t="str">
        <f aca="false">IF(C466="","",F466*IFERROR(INDEX(Productos!$F$5:$F$104,MATCH(C466,Productos!$B$5:$B$104,0)),0))</f>
        <v/>
      </c>
      <c r="M466" s="11" t="str">
        <f aca="false">IF(C466="","",I466-L466)</f>
        <v/>
      </c>
    </row>
    <row r="467" customFormat="false" ht="15" hidden="false" customHeight="false" outlineLevel="0" collapsed="false">
      <c r="A467" s="25"/>
      <c r="B467" s="20"/>
      <c r="C467" s="20"/>
      <c r="D467" s="7" t="str">
        <f aca="false">IF(C467="","",IFERROR(INDEX(Productos!$A$5:$A$104,MATCH(C467,Productos!$B$5:$B$104,0)),""))</f>
        <v/>
      </c>
      <c r="E467" s="7" t="str">
        <f aca="false">IF(C467="","",IFERROR(INDEX(Productos!$C$5:$C$104,MATCH(C467,Productos!$B$5:$B$104,0)),""))</f>
        <v/>
      </c>
      <c r="F467" s="21"/>
      <c r="G467" s="11" t="str">
        <f aca="false">IF(C467="","",IFERROR(INDEX(Productos!$G$5:$G$104,MATCH(C467,Productos!$B$5:$B$104,0)),0))</f>
        <v/>
      </c>
      <c r="H467" s="26"/>
      <c r="I467" s="11" t="str">
        <f aca="false">IF(C467="","",F467*G467*(1-H467))</f>
        <v/>
      </c>
      <c r="J467" s="20"/>
      <c r="K467" s="20"/>
      <c r="L467" s="11" t="str">
        <f aca="false">IF(C467="","",F467*IFERROR(INDEX(Productos!$F$5:$F$104,MATCH(C467,Productos!$B$5:$B$104,0)),0))</f>
        <v/>
      </c>
      <c r="M467" s="11" t="str">
        <f aca="false">IF(C467="","",I467-L467)</f>
        <v/>
      </c>
    </row>
    <row r="468" customFormat="false" ht="15" hidden="false" customHeight="false" outlineLevel="0" collapsed="false">
      <c r="A468" s="25"/>
      <c r="B468" s="20"/>
      <c r="C468" s="20"/>
      <c r="D468" s="7" t="str">
        <f aca="false">IF(C468="","",IFERROR(INDEX(Productos!$A$5:$A$104,MATCH(C468,Productos!$B$5:$B$104,0)),""))</f>
        <v/>
      </c>
      <c r="E468" s="7" t="str">
        <f aca="false">IF(C468="","",IFERROR(INDEX(Productos!$C$5:$C$104,MATCH(C468,Productos!$B$5:$B$104,0)),""))</f>
        <v/>
      </c>
      <c r="F468" s="21"/>
      <c r="G468" s="11" t="str">
        <f aca="false">IF(C468="","",IFERROR(INDEX(Productos!$G$5:$G$104,MATCH(C468,Productos!$B$5:$B$104,0)),0))</f>
        <v/>
      </c>
      <c r="H468" s="26"/>
      <c r="I468" s="11" t="str">
        <f aca="false">IF(C468="","",F468*G468*(1-H468))</f>
        <v/>
      </c>
      <c r="J468" s="20"/>
      <c r="K468" s="20"/>
      <c r="L468" s="11" t="str">
        <f aca="false">IF(C468="","",F468*IFERROR(INDEX(Productos!$F$5:$F$104,MATCH(C468,Productos!$B$5:$B$104,0)),0))</f>
        <v/>
      </c>
      <c r="M468" s="11" t="str">
        <f aca="false">IF(C468="","",I468-L468)</f>
        <v/>
      </c>
    </row>
    <row r="469" customFormat="false" ht="15" hidden="false" customHeight="false" outlineLevel="0" collapsed="false">
      <c r="A469" s="25"/>
      <c r="B469" s="20"/>
      <c r="C469" s="20"/>
      <c r="D469" s="7" t="str">
        <f aca="false">IF(C469="","",IFERROR(INDEX(Productos!$A$5:$A$104,MATCH(C469,Productos!$B$5:$B$104,0)),""))</f>
        <v/>
      </c>
      <c r="E469" s="7" t="str">
        <f aca="false">IF(C469="","",IFERROR(INDEX(Productos!$C$5:$C$104,MATCH(C469,Productos!$B$5:$B$104,0)),""))</f>
        <v/>
      </c>
      <c r="F469" s="21"/>
      <c r="G469" s="11" t="str">
        <f aca="false">IF(C469="","",IFERROR(INDEX(Productos!$G$5:$G$104,MATCH(C469,Productos!$B$5:$B$104,0)),0))</f>
        <v/>
      </c>
      <c r="H469" s="26"/>
      <c r="I469" s="11" t="str">
        <f aca="false">IF(C469="","",F469*G469*(1-H469))</f>
        <v/>
      </c>
      <c r="J469" s="20"/>
      <c r="K469" s="20"/>
      <c r="L469" s="11" t="str">
        <f aca="false">IF(C469="","",F469*IFERROR(INDEX(Productos!$F$5:$F$104,MATCH(C469,Productos!$B$5:$B$104,0)),0))</f>
        <v/>
      </c>
      <c r="M469" s="11" t="str">
        <f aca="false">IF(C469="","",I469-L469)</f>
        <v/>
      </c>
    </row>
    <row r="470" customFormat="false" ht="15" hidden="false" customHeight="false" outlineLevel="0" collapsed="false">
      <c r="A470" s="25"/>
      <c r="B470" s="20"/>
      <c r="C470" s="20"/>
      <c r="D470" s="7" t="str">
        <f aca="false">IF(C470="","",IFERROR(INDEX(Productos!$A$5:$A$104,MATCH(C470,Productos!$B$5:$B$104,0)),""))</f>
        <v/>
      </c>
      <c r="E470" s="7" t="str">
        <f aca="false">IF(C470="","",IFERROR(INDEX(Productos!$C$5:$C$104,MATCH(C470,Productos!$B$5:$B$104,0)),""))</f>
        <v/>
      </c>
      <c r="F470" s="21"/>
      <c r="G470" s="11" t="str">
        <f aca="false">IF(C470="","",IFERROR(INDEX(Productos!$G$5:$G$104,MATCH(C470,Productos!$B$5:$B$104,0)),0))</f>
        <v/>
      </c>
      <c r="H470" s="26"/>
      <c r="I470" s="11" t="str">
        <f aca="false">IF(C470="","",F470*G470*(1-H470))</f>
        <v/>
      </c>
      <c r="J470" s="20"/>
      <c r="K470" s="20"/>
      <c r="L470" s="11" t="str">
        <f aca="false">IF(C470="","",F470*IFERROR(INDEX(Productos!$F$5:$F$104,MATCH(C470,Productos!$B$5:$B$104,0)),0))</f>
        <v/>
      </c>
      <c r="M470" s="11" t="str">
        <f aca="false">IF(C470="","",I470-L470)</f>
        <v/>
      </c>
    </row>
    <row r="471" customFormat="false" ht="15" hidden="false" customHeight="false" outlineLevel="0" collapsed="false">
      <c r="A471" s="25"/>
      <c r="B471" s="20"/>
      <c r="C471" s="20"/>
      <c r="D471" s="7" t="str">
        <f aca="false">IF(C471="","",IFERROR(INDEX(Productos!$A$5:$A$104,MATCH(C471,Productos!$B$5:$B$104,0)),""))</f>
        <v/>
      </c>
      <c r="E471" s="7" t="str">
        <f aca="false">IF(C471="","",IFERROR(INDEX(Productos!$C$5:$C$104,MATCH(C471,Productos!$B$5:$B$104,0)),""))</f>
        <v/>
      </c>
      <c r="F471" s="21"/>
      <c r="G471" s="11" t="str">
        <f aca="false">IF(C471="","",IFERROR(INDEX(Productos!$G$5:$G$104,MATCH(C471,Productos!$B$5:$B$104,0)),0))</f>
        <v/>
      </c>
      <c r="H471" s="26"/>
      <c r="I471" s="11" t="str">
        <f aca="false">IF(C471="","",F471*G471*(1-H471))</f>
        <v/>
      </c>
      <c r="J471" s="20"/>
      <c r="K471" s="20"/>
      <c r="L471" s="11" t="str">
        <f aca="false">IF(C471="","",F471*IFERROR(INDEX(Productos!$F$5:$F$104,MATCH(C471,Productos!$B$5:$B$104,0)),0))</f>
        <v/>
      </c>
      <c r="M471" s="11" t="str">
        <f aca="false">IF(C471="","",I471-L471)</f>
        <v/>
      </c>
    </row>
    <row r="472" customFormat="false" ht="15" hidden="false" customHeight="false" outlineLevel="0" collapsed="false">
      <c r="A472" s="25"/>
      <c r="B472" s="20"/>
      <c r="C472" s="20"/>
      <c r="D472" s="7" t="str">
        <f aca="false">IF(C472="","",IFERROR(INDEX(Productos!$A$5:$A$104,MATCH(C472,Productos!$B$5:$B$104,0)),""))</f>
        <v/>
      </c>
      <c r="E472" s="7" t="str">
        <f aca="false">IF(C472="","",IFERROR(INDEX(Productos!$C$5:$C$104,MATCH(C472,Productos!$B$5:$B$104,0)),""))</f>
        <v/>
      </c>
      <c r="F472" s="21"/>
      <c r="G472" s="11" t="str">
        <f aca="false">IF(C472="","",IFERROR(INDEX(Productos!$G$5:$G$104,MATCH(C472,Productos!$B$5:$B$104,0)),0))</f>
        <v/>
      </c>
      <c r="H472" s="26"/>
      <c r="I472" s="11" t="str">
        <f aca="false">IF(C472="","",F472*G472*(1-H472))</f>
        <v/>
      </c>
      <c r="J472" s="20"/>
      <c r="K472" s="20"/>
      <c r="L472" s="11" t="str">
        <f aca="false">IF(C472="","",F472*IFERROR(INDEX(Productos!$F$5:$F$104,MATCH(C472,Productos!$B$5:$B$104,0)),0))</f>
        <v/>
      </c>
      <c r="M472" s="11" t="str">
        <f aca="false">IF(C472="","",I472-L472)</f>
        <v/>
      </c>
    </row>
    <row r="473" customFormat="false" ht="15" hidden="false" customHeight="false" outlineLevel="0" collapsed="false">
      <c r="A473" s="25"/>
      <c r="B473" s="20"/>
      <c r="C473" s="20"/>
      <c r="D473" s="7" t="str">
        <f aca="false">IF(C473="","",IFERROR(INDEX(Productos!$A$5:$A$104,MATCH(C473,Productos!$B$5:$B$104,0)),""))</f>
        <v/>
      </c>
      <c r="E473" s="7" t="str">
        <f aca="false">IF(C473="","",IFERROR(INDEX(Productos!$C$5:$C$104,MATCH(C473,Productos!$B$5:$B$104,0)),""))</f>
        <v/>
      </c>
      <c r="F473" s="21"/>
      <c r="G473" s="11" t="str">
        <f aca="false">IF(C473="","",IFERROR(INDEX(Productos!$G$5:$G$104,MATCH(C473,Productos!$B$5:$B$104,0)),0))</f>
        <v/>
      </c>
      <c r="H473" s="26"/>
      <c r="I473" s="11" t="str">
        <f aca="false">IF(C473="","",F473*G473*(1-H473))</f>
        <v/>
      </c>
      <c r="J473" s="20"/>
      <c r="K473" s="20"/>
      <c r="L473" s="11" t="str">
        <f aca="false">IF(C473="","",F473*IFERROR(INDEX(Productos!$F$5:$F$104,MATCH(C473,Productos!$B$5:$B$104,0)),0))</f>
        <v/>
      </c>
      <c r="M473" s="11" t="str">
        <f aca="false">IF(C473="","",I473-L473)</f>
        <v/>
      </c>
    </row>
    <row r="474" customFormat="false" ht="15" hidden="false" customHeight="false" outlineLevel="0" collapsed="false">
      <c r="A474" s="25"/>
      <c r="B474" s="20"/>
      <c r="C474" s="20"/>
      <c r="D474" s="7" t="str">
        <f aca="false">IF(C474="","",IFERROR(INDEX(Productos!$A$5:$A$104,MATCH(C474,Productos!$B$5:$B$104,0)),""))</f>
        <v/>
      </c>
      <c r="E474" s="7" t="str">
        <f aca="false">IF(C474="","",IFERROR(INDEX(Productos!$C$5:$C$104,MATCH(C474,Productos!$B$5:$B$104,0)),""))</f>
        <v/>
      </c>
      <c r="F474" s="21"/>
      <c r="G474" s="11" t="str">
        <f aca="false">IF(C474="","",IFERROR(INDEX(Productos!$G$5:$G$104,MATCH(C474,Productos!$B$5:$B$104,0)),0))</f>
        <v/>
      </c>
      <c r="H474" s="26"/>
      <c r="I474" s="11" t="str">
        <f aca="false">IF(C474="","",F474*G474*(1-H474))</f>
        <v/>
      </c>
      <c r="J474" s="20"/>
      <c r="K474" s="20"/>
      <c r="L474" s="11" t="str">
        <f aca="false">IF(C474="","",F474*IFERROR(INDEX(Productos!$F$5:$F$104,MATCH(C474,Productos!$B$5:$B$104,0)),0))</f>
        <v/>
      </c>
      <c r="M474" s="11" t="str">
        <f aca="false">IF(C474="","",I474-L474)</f>
        <v/>
      </c>
    </row>
    <row r="475" customFormat="false" ht="15" hidden="false" customHeight="false" outlineLevel="0" collapsed="false">
      <c r="A475" s="25"/>
      <c r="B475" s="20"/>
      <c r="C475" s="20"/>
      <c r="D475" s="7" t="str">
        <f aca="false">IF(C475="","",IFERROR(INDEX(Productos!$A$5:$A$104,MATCH(C475,Productos!$B$5:$B$104,0)),""))</f>
        <v/>
      </c>
      <c r="E475" s="7" t="str">
        <f aca="false">IF(C475="","",IFERROR(INDEX(Productos!$C$5:$C$104,MATCH(C475,Productos!$B$5:$B$104,0)),""))</f>
        <v/>
      </c>
      <c r="F475" s="21"/>
      <c r="G475" s="11" t="str">
        <f aca="false">IF(C475="","",IFERROR(INDEX(Productos!$G$5:$G$104,MATCH(C475,Productos!$B$5:$B$104,0)),0))</f>
        <v/>
      </c>
      <c r="H475" s="26"/>
      <c r="I475" s="11" t="str">
        <f aca="false">IF(C475="","",F475*G475*(1-H475))</f>
        <v/>
      </c>
      <c r="J475" s="20"/>
      <c r="K475" s="20"/>
      <c r="L475" s="11" t="str">
        <f aca="false">IF(C475="","",F475*IFERROR(INDEX(Productos!$F$5:$F$104,MATCH(C475,Productos!$B$5:$B$104,0)),0))</f>
        <v/>
      </c>
      <c r="M475" s="11" t="str">
        <f aca="false">IF(C475="","",I475-L475)</f>
        <v/>
      </c>
    </row>
    <row r="476" customFormat="false" ht="15" hidden="false" customHeight="false" outlineLevel="0" collapsed="false">
      <c r="A476" s="25"/>
      <c r="B476" s="20"/>
      <c r="C476" s="20"/>
      <c r="D476" s="7" t="str">
        <f aca="false">IF(C476="","",IFERROR(INDEX(Productos!$A$5:$A$104,MATCH(C476,Productos!$B$5:$B$104,0)),""))</f>
        <v/>
      </c>
      <c r="E476" s="7" t="str">
        <f aca="false">IF(C476="","",IFERROR(INDEX(Productos!$C$5:$C$104,MATCH(C476,Productos!$B$5:$B$104,0)),""))</f>
        <v/>
      </c>
      <c r="F476" s="21"/>
      <c r="G476" s="11" t="str">
        <f aca="false">IF(C476="","",IFERROR(INDEX(Productos!$G$5:$G$104,MATCH(C476,Productos!$B$5:$B$104,0)),0))</f>
        <v/>
      </c>
      <c r="H476" s="26"/>
      <c r="I476" s="11" t="str">
        <f aca="false">IF(C476="","",F476*G476*(1-H476))</f>
        <v/>
      </c>
      <c r="J476" s="20"/>
      <c r="K476" s="20"/>
      <c r="L476" s="11" t="str">
        <f aca="false">IF(C476="","",F476*IFERROR(INDEX(Productos!$F$5:$F$104,MATCH(C476,Productos!$B$5:$B$104,0)),0))</f>
        <v/>
      </c>
      <c r="M476" s="11" t="str">
        <f aca="false">IF(C476="","",I476-L476)</f>
        <v/>
      </c>
    </row>
    <row r="477" customFormat="false" ht="15" hidden="false" customHeight="false" outlineLevel="0" collapsed="false">
      <c r="A477" s="25"/>
      <c r="B477" s="20"/>
      <c r="C477" s="20"/>
      <c r="D477" s="7" t="str">
        <f aca="false">IF(C477="","",IFERROR(INDEX(Productos!$A$5:$A$104,MATCH(C477,Productos!$B$5:$B$104,0)),""))</f>
        <v/>
      </c>
      <c r="E477" s="7" t="str">
        <f aca="false">IF(C477="","",IFERROR(INDEX(Productos!$C$5:$C$104,MATCH(C477,Productos!$B$5:$B$104,0)),""))</f>
        <v/>
      </c>
      <c r="F477" s="21"/>
      <c r="G477" s="11" t="str">
        <f aca="false">IF(C477="","",IFERROR(INDEX(Productos!$G$5:$G$104,MATCH(C477,Productos!$B$5:$B$104,0)),0))</f>
        <v/>
      </c>
      <c r="H477" s="26"/>
      <c r="I477" s="11" t="str">
        <f aca="false">IF(C477="","",F477*G477*(1-H477))</f>
        <v/>
      </c>
      <c r="J477" s="20"/>
      <c r="K477" s="20"/>
      <c r="L477" s="11" t="str">
        <f aca="false">IF(C477="","",F477*IFERROR(INDEX(Productos!$F$5:$F$104,MATCH(C477,Productos!$B$5:$B$104,0)),0))</f>
        <v/>
      </c>
      <c r="M477" s="11" t="str">
        <f aca="false">IF(C477="","",I477-L477)</f>
        <v/>
      </c>
    </row>
    <row r="478" customFormat="false" ht="15" hidden="false" customHeight="false" outlineLevel="0" collapsed="false">
      <c r="A478" s="25"/>
      <c r="B478" s="20"/>
      <c r="C478" s="20"/>
      <c r="D478" s="7" t="str">
        <f aca="false">IF(C478="","",IFERROR(INDEX(Productos!$A$5:$A$104,MATCH(C478,Productos!$B$5:$B$104,0)),""))</f>
        <v/>
      </c>
      <c r="E478" s="7" t="str">
        <f aca="false">IF(C478="","",IFERROR(INDEX(Productos!$C$5:$C$104,MATCH(C478,Productos!$B$5:$B$104,0)),""))</f>
        <v/>
      </c>
      <c r="F478" s="21"/>
      <c r="G478" s="11" t="str">
        <f aca="false">IF(C478="","",IFERROR(INDEX(Productos!$G$5:$G$104,MATCH(C478,Productos!$B$5:$B$104,0)),0))</f>
        <v/>
      </c>
      <c r="H478" s="26"/>
      <c r="I478" s="11" t="str">
        <f aca="false">IF(C478="","",F478*G478*(1-H478))</f>
        <v/>
      </c>
      <c r="J478" s="20"/>
      <c r="K478" s="20"/>
      <c r="L478" s="11" t="str">
        <f aca="false">IF(C478="","",F478*IFERROR(INDEX(Productos!$F$5:$F$104,MATCH(C478,Productos!$B$5:$B$104,0)),0))</f>
        <v/>
      </c>
      <c r="M478" s="11" t="str">
        <f aca="false">IF(C478="","",I478-L478)</f>
        <v/>
      </c>
    </row>
    <row r="479" customFormat="false" ht="15" hidden="false" customHeight="false" outlineLevel="0" collapsed="false">
      <c r="A479" s="25"/>
      <c r="B479" s="20"/>
      <c r="C479" s="20"/>
      <c r="D479" s="7" t="str">
        <f aca="false">IF(C479="","",IFERROR(INDEX(Productos!$A$5:$A$104,MATCH(C479,Productos!$B$5:$B$104,0)),""))</f>
        <v/>
      </c>
      <c r="E479" s="7" t="str">
        <f aca="false">IF(C479="","",IFERROR(INDEX(Productos!$C$5:$C$104,MATCH(C479,Productos!$B$5:$B$104,0)),""))</f>
        <v/>
      </c>
      <c r="F479" s="21"/>
      <c r="G479" s="11" t="str">
        <f aca="false">IF(C479="","",IFERROR(INDEX(Productos!$G$5:$G$104,MATCH(C479,Productos!$B$5:$B$104,0)),0))</f>
        <v/>
      </c>
      <c r="H479" s="26"/>
      <c r="I479" s="11" t="str">
        <f aca="false">IF(C479="","",F479*G479*(1-H479))</f>
        <v/>
      </c>
      <c r="J479" s="20"/>
      <c r="K479" s="20"/>
      <c r="L479" s="11" t="str">
        <f aca="false">IF(C479="","",F479*IFERROR(INDEX(Productos!$F$5:$F$104,MATCH(C479,Productos!$B$5:$B$104,0)),0))</f>
        <v/>
      </c>
      <c r="M479" s="11" t="str">
        <f aca="false">IF(C479="","",I479-L479)</f>
        <v/>
      </c>
    </row>
    <row r="480" customFormat="false" ht="15" hidden="false" customHeight="false" outlineLevel="0" collapsed="false">
      <c r="A480" s="25"/>
      <c r="B480" s="20"/>
      <c r="C480" s="20"/>
      <c r="D480" s="7" t="str">
        <f aca="false">IF(C480="","",IFERROR(INDEX(Productos!$A$5:$A$104,MATCH(C480,Productos!$B$5:$B$104,0)),""))</f>
        <v/>
      </c>
      <c r="E480" s="7" t="str">
        <f aca="false">IF(C480="","",IFERROR(INDEX(Productos!$C$5:$C$104,MATCH(C480,Productos!$B$5:$B$104,0)),""))</f>
        <v/>
      </c>
      <c r="F480" s="21"/>
      <c r="G480" s="11" t="str">
        <f aca="false">IF(C480="","",IFERROR(INDEX(Productos!$G$5:$G$104,MATCH(C480,Productos!$B$5:$B$104,0)),0))</f>
        <v/>
      </c>
      <c r="H480" s="26"/>
      <c r="I480" s="11" t="str">
        <f aca="false">IF(C480="","",F480*G480*(1-H480))</f>
        <v/>
      </c>
      <c r="J480" s="20"/>
      <c r="K480" s="20"/>
      <c r="L480" s="11" t="str">
        <f aca="false">IF(C480="","",F480*IFERROR(INDEX(Productos!$F$5:$F$104,MATCH(C480,Productos!$B$5:$B$104,0)),0))</f>
        <v/>
      </c>
      <c r="M480" s="11" t="str">
        <f aca="false">IF(C480="","",I480-L480)</f>
        <v/>
      </c>
    </row>
    <row r="481" customFormat="false" ht="15" hidden="false" customHeight="false" outlineLevel="0" collapsed="false">
      <c r="A481" s="25"/>
      <c r="B481" s="20"/>
      <c r="C481" s="20"/>
      <c r="D481" s="7" t="str">
        <f aca="false">IF(C481="","",IFERROR(INDEX(Productos!$A$5:$A$104,MATCH(C481,Productos!$B$5:$B$104,0)),""))</f>
        <v/>
      </c>
      <c r="E481" s="7" t="str">
        <f aca="false">IF(C481="","",IFERROR(INDEX(Productos!$C$5:$C$104,MATCH(C481,Productos!$B$5:$B$104,0)),""))</f>
        <v/>
      </c>
      <c r="F481" s="21"/>
      <c r="G481" s="11" t="str">
        <f aca="false">IF(C481="","",IFERROR(INDEX(Productos!$G$5:$G$104,MATCH(C481,Productos!$B$5:$B$104,0)),0))</f>
        <v/>
      </c>
      <c r="H481" s="26"/>
      <c r="I481" s="11" t="str">
        <f aca="false">IF(C481="","",F481*G481*(1-H481))</f>
        <v/>
      </c>
      <c r="J481" s="20"/>
      <c r="K481" s="20"/>
      <c r="L481" s="11" t="str">
        <f aca="false">IF(C481="","",F481*IFERROR(INDEX(Productos!$F$5:$F$104,MATCH(C481,Productos!$B$5:$B$104,0)),0))</f>
        <v/>
      </c>
      <c r="M481" s="11" t="str">
        <f aca="false">IF(C481="","",I481-L481)</f>
        <v/>
      </c>
    </row>
    <row r="482" customFormat="false" ht="15" hidden="false" customHeight="false" outlineLevel="0" collapsed="false">
      <c r="A482" s="25"/>
      <c r="B482" s="20"/>
      <c r="C482" s="20"/>
      <c r="D482" s="7" t="str">
        <f aca="false">IF(C482="","",IFERROR(INDEX(Productos!$A$5:$A$104,MATCH(C482,Productos!$B$5:$B$104,0)),""))</f>
        <v/>
      </c>
      <c r="E482" s="7" t="str">
        <f aca="false">IF(C482="","",IFERROR(INDEX(Productos!$C$5:$C$104,MATCH(C482,Productos!$B$5:$B$104,0)),""))</f>
        <v/>
      </c>
      <c r="F482" s="21"/>
      <c r="G482" s="11" t="str">
        <f aca="false">IF(C482="","",IFERROR(INDEX(Productos!$G$5:$G$104,MATCH(C482,Productos!$B$5:$B$104,0)),0))</f>
        <v/>
      </c>
      <c r="H482" s="26"/>
      <c r="I482" s="11" t="str">
        <f aca="false">IF(C482="","",F482*G482*(1-H482))</f>
        <v/>
      </c>
      <c r="J482" s="20"/>
      <c r="K482" s="20"/>
      <c r="L482" s="11" t="str">
        <f aca="false">IF(C482="","",F482*IFERROR(INDEX(Productos!$F$5:$F$104,MATCH(C482,Productos!$B$5:$B$104,0)),0))</f>
        <v/>
      </c>
      <c r="M482" s="11" t="str">
        <f aca="false">IF(C482="","",I482-L482)</f>
        <v/>
      </c>
    </row>
    <row r="483" customFormat="false" ht="15" hidden="false" customHeight="false" outlineLevel="0" collapsed="false">
      <c r="A483" s="25"/>
      <c r="B483" s="20"/>
      <c r="C483" s="20"/>
      <c r="D483" s="7" t="str">
        <f aca="false">IF(C483="","",IFERROR(INDEX(Productos!$A$5:$A$104,MATCH(C483,Productos!$B$5:$B$104,0)),""))</f>
        <v/>
      </c>
      <c r="E483" s="7" t="str">
        <f aca="false">IF(C483="","",IFERROR(INDEX(Productos!$C$5:$C$104,MATCH(C483,Productos!$B$5:$B$104,0)),""))</f>
        <v/>
      </c>
      <c r="F483" s="21"/>
      <c r="G483" s="11" t="str">
        <f aca="false">IF(C483="","",IFERROR(INDEX(Productos!$G$5:$G$104,MATCH(C483,Productos!$B$5:$B$104,0)),0))</f>
        <v/>
      </c>
      <c r="H483" s="26"/>
      <c r="I483" s="11" t="str">
        <f aca="false">IF(C483="","",F483*G483*(1-H483))</f>
        <v/>
      </c>
      <c r="J483" s="20"/>
      <c r="K483" s="20"/>
      <c r="L483" s="11" t="str">
        <f aca="false">IF(C483="","",F483*IFERROR(INDEX(Productos!$F$5:$F$104,MATCH(C483,Productos!$B$5:$B$104,0)),0))</f>
        <v/>
      </c>
      <c r="M483" s="11" t="str">
        <f aca="false">IF(C483="","",I483-L483)</f>
        <v/>
      </c>
    </row>
    <row r="484" customFormat="false" ht="15" hidden="false" customHeight="false" outlineLevel="0" collapsed="false">
      <c r="A484" s="25"/>
      <c r="B484" s="20"/>
      <c r="C484" s="20"/>
      <c r="D484" s="7" t="str">
        <f aca="false">IF(C484="","",IFERROR(INDEX(Productos!$A$5:$A$104,MATCH(C484,Productos!$B$5:$B$104,0)),""))</f>
        <v/>
      </c>
      <c r="E484" s="7" t="str">
        <f aca="false">IF(C484="","",IFERROR(INDEX(Productos!$C$5:$C$104,MATCH(C484,Productos!$B$5:$B$104,0)),""))</f>
        <v/>
      </c>
      <c r="F484" s="21"/>
      <c r="G484" s="11" t="str">
        <f aca="false">IF(C484="","",IFERROR(INDEX(Productos!$G$5:$G$104,MATCH(C484,Productos!$B$5:$B$104,0)),0))</f>
        <v/>
      </c>
      <c r="H484" s="26"/>
      <c r="I484" s="11" t="str">
        <f aca="false">IF(C484="","",F484*G484*(1-H484))</f>
        <v/>
      </c>
      <c r="J484" s="20"/>
      <c r="K484" s="20"/>
      <c r="L484" s="11" t="str">
        <f aca="false">IF(C484="","",F484*IFERROR(INDEX(Productos!$F$5:$F$104,MATCH(C484,Productos!$B$5:$B$104,0)),0))</f>
        <v/>
      </c>
      <c r="M484" s="11" t="str">
        <f aca="false">IF(C484="","",I484-L484)</f>
        <v/>
      </c>
    </row>
    <row r="485" customFormat="false" ht="15" hidden="false" customHeight="false" outlineLevel="0" collapsed="false">
      <c r="A485" s="25"/>
      <c r="B485" s="20"/>
      <c r="C485" s="20"/>
      <c r="D485" s="7" t="str">
        <f aca="false">IF(C485="","",IFERROR(INDEX(Productos!$A$5:$A$104,MATCH(C485,Productos!$B$5:$B$104,0)),""))</f>
        <v/>
      </c>
      <c r="E485" s="7" t="str">
        <f aca="false">IF(C485="","",IFERROR(INDEX(Productos!$C$5:$C$104,MATCH(C485,Productos!$B$5:$B$104,0)),""))</f>
        <v/>
      </c>
      <c r="F485" s="21"/>
      <c r="G485" s="11" t="str">
        <f aca="false">IF(C485="","",IFERROR(INDEX(Productos!$G$5:$G$104,MATCH(C485,Productos!$B$5:$B$104,0)),0))</f>
        <v/>
      </c>
      <c r="H485" s="26"/>
      <c r="I485" s="11" t="str">
        <f aca="false">IF(C485="","",F485*G485*(1-H485))</f>
        <v/>
      </c>
      <c r="J485" s="20"/>
      <c r="K485" s="20"/>
      <c r="L485" s="11" t="str">
        <f aca="false">IF(C485="","",F485*IFERROR(INDEX(Productos!$F$5:$F$104,MATCH(C485,Productos!$B$5:$B$104,0)),0))</f>
        <v/>
      </c>
      <c r="M485" s="11" t="str">
        <f aca="false">IF(C485="","",I485-L485)</f>
        <v/>
      </c>
    </row>
    <row r="486" customFormat="false" ht="15" hidden="false" customHeight="false" outlineLevel="0" collapsed="false">
      <c r="A486" s="25"/>
      <c r="B486" s="20"/>
      <c r="C486" s="20"/>
      <c r="D486" s="7" t="str">
        <f aca="false">IF(C486="","",IFERROR(INDEX(Productos!$A$5:$A$104,MATCH(C486,Productos!$B$5:$B$104,0)),""))</f>
        <v/>
      </c>
      <c r="E486" s="7" t="str">
        <f aca="false">IF(C486="","",IFERROR(INDEX(Productos!$C$5:$C$104,MATCH(C486,Productos!$B$5:$B$104,0)),""))</f>
        <v/>
      </c>
      <c r="F486" s="21"/>
      <c r="G486" s="11" t="str">
        <f aca="false">IF(C486="","",IFERROR(INDEX(Productos!$G$5:$G$104,MATCH(C486,Productos!$B$5:$B$104,0)),0))</f>
        <v/>
      </c>
      <c r="H486" s="26"/>
      <c r="I486" s="11" t="str">
        <f aca="false">IF(C486="","",F486*G486*(1-H486))</f>
        <v/>
      </c>
      <c r="J486" s="20"/>
      <c r="K486" s="20"/>
      <c r="L486" s="11" t="str">
        <f aca="false">IF(C486="","",F486*IFERROR(INDEX(Productos!$F$5:$F$104,MATCH(C486,Productos!$B$5:$B$104,0)),0))</f>
        <v/>
      </c>
      <c r="M486" s="11" t="str">
        <f aca="false">IF(C486="","",I486-L486)</f>
        <v/>
      </c>
    </row>
    <row r="487" customFormat="false" ht="15" hidden="false" customHeight="false" outlineLevel="0" collapsed="false">
      <c r="A487" s="25"/>
      <c r="B487" s="20"/>
      <c r="C487" s="20"/>
      <c r="D487" s="7" t="str">
        <f aca="false">IF(C487="","",IFERROR(INDEX(Productos!$A$5:$A$104,MATCH(C487,Productos!$B$5:$B$104,0)),""))</f>
        <v/>
      </c>
      <c r="E487" s="7" t="str">
        <f aca="false">IF(C487="","",IFERROR(INDEX(Productos!$C$5:$C$104,MATCH(C487,Productos!$B$5:$B$104,0)),""))</f>
        <v/>
      </c>
      <c r="F487" s="21"/>
      <c r="G487" s="11" t="str">
        <f aca="false">IF(C487="","",IFERROR(INDEX(Productos!$G$5:$G$104,MATCH(C487,Productos!$B$5:$B$104,0)),0))</f>
        <v/>
      </c>
      <c r="H487" s="26"/>
      <c r="I487" s="11" t="str">
        <f aca="false">IF(C487="","",F487*G487*(1-H487))</f>
        <v/>
      </c>
      <c r="J487" s="20"/>
      <c r="K487" s="20"/>
      <c r="L487" s="11" t="str">
        <f aca="false">IF(C487="","",F487*IFERROR(INDEX(Productos!$F$5:$F$104,MATCH(C487,Productos!$B$5:$B$104,0)),0))</f>
        <v/>
      </c>
      <c r="M487" s="11" t="str">
        <f aca="false">IF(C487="","",I487-L487)</f>
        <v/>
      </c>
    </row>
    <row r="488" customFormat="false" ht="15" hidden="false" customHeight="false" outlineLevel="0" collapsed="false">
      <c r="A488" s="25"/>
      <c r="B488" s="20"/>
      <c r="C488" s="20"/>
      <c r="D488" s="7" t="str">
        <f aca="false">IF(C488="","",IFERROR(INDEX(Productos!$A$5:$A$104,MATCH(C488,Productos!$B$5:$B$104,0)),""))</f>
        <v/>
      </c>
      <c r="E488" s="7" t="str">
        <f aca="false">IF(C488="","",IFERROR(INDEX(Productos!$C$5:$C$104,MATCH(C488,Productos!$B$5:$B$104,0)),""))</f>
        <v/>
      </c>
      <c r="F488" s="21"/>
      <c r="G488" s="11" t="str">
        <f aca="false">IF(C488="","",IFERROR(INDEX(Productos!$G$5:$G$104,MATCH(C488,Productos!$B$5:$B$104,0)),0))</f>
        <v/>
      </c>
      <c r="H488" s="26"/>
      <c r="I488" s="11" t="str">
        <f aca="false">IF(C488="","",F488*G488*(1-H488))</f>
        <v/>
      </c>
      <c r="J488" s="20"/>
      <c r="K488" s="20"/>
      <c r="L488" s="11" t="str">
        <f aca="false">IF(C488="","",F488*IFERROR(INDEX(Productos!$F$5:$F$104,MATCH(C488,Productos!$B$5:$B$104,0)),0))</f>
        <v/>
      </c>
      <c r="M488" s="11" t="str">
        <f aca="false">IF(C488="","",I488-L488)</f>
        <v/>
      </c>
    </row>
    <row r="489" customFormat="false" ht="15" hidden="false" customHeight="false" outlineLevel="0" collapsed="false">
      <c r="A489" s="25"/>
      <c r="B489" s="20"/>
      <c r="C489" s="20"/>
      <c r="D489" s="7" t="str">
        <f aca="false">IF(C489="","",IFERROR(INDEX(Productos!$A$5:$A$104,MATCH(C489,Productos!$B$5:$B$104,0)),""))</f>
        <v/>
      </c>
      <c r="E489" s="7" t="str">
        <f aca="false">IF(C489="","",IFERROR(INDEX(Productos!$C$5:$C$104,MATCH(C489,Productos!$B$5:$B$104,0)),""))</f>
        <v/>
      </c>
      <c r="F489" s="21"/>
      <c r="G489" s="11" t="str">
        <f aca="false">IF(C489="","",IFERROR(INDEX(Productos!$G$5:$G$104,MATCH(C489,Productos!$B$5:$B$104,0)),0))</f>
        <v/>
      </c>
      <c r="H489" s="26"/>
      <c r="I489" s="11" t="str">
        <f aca="false">IF(C489="","",F489*G489*(1-H489))</f>
        <v/>
      </c>
      <c r="J489" s="20"/>
      <c r="K489" s="20"/>
      <c r="L489" s="11" t="str">
        <f aca="false">IF(C489="","",F489*IFERROR(INDEX(Productos!$F$5:$F$104,MATCH(C489,Productos!$B$5:$B$104,0)),0))</f>
        <v/>
      </c>
      <c r="M489" s="11" t="str">
        <f aca="false">IF(C489="","",I489-L489)</f>
        <v/>
      </c>
    </row>
    <row r="490" customFormat="false" ht="15" hidden="false" customHeight="false" outlineLevel="0" collapsed="false">
      <c r="A490" s="25"/>
      <c r="B490" s="20"/>
      <c r="C490" s="20"/>
      <c r="D490" s="7" t="str">
        <f aca="false">IF(C490="","",IFERROR(INDEX(Productos!$A$5:$A$104,MATCH(C490,Productos!$B$5:$B$104,0)),""))</f>
        <v/>
      </c>
      <c r="E490" s="7" t="str">
        <f aca="false">IF(C490="","",IFERROR(INDEX(Productos!$C$5:$C$104,MATCH(C490,Productos!$B$5:$B$104,0)),""))</f>
        <v/>
      </c>
      <c r="F490" s="21"/>
      <c r="G490" s="11" t="str">
        <f aca="false">IF(C490="","",IFERROR(INDEX(Productos!$G$5:$G$104,MATCH(C490,Productos!$B$5:$B$104,0)),0))</f>
        <v/>
      </c>
      <c r="H490" s="26"/>
      <c r="I490" s="11" t="str">
        <f aca="false">IF(C490="","",F490*G490*(1-H490))</f>
        <v/>
      </c>
      <c r="J490" s="20"/>
      <c r="K490" s="20"/>
      <c r="L490" s="11" t="str">
        <f aca="false">IF(C490="","",F490*IFERROR(INDEX(Productos!$F$5:$F$104,MATCH(C490,Productos!$B$5:$B$104,0)),0))</f>
        <v/>
      </c>
      <c r="M490" s="11" t="str">
        <f aca="false">IF(C490="","",I490-L490)</f>
        <v/>
      </c>
    </row>
    <row r="491" customFormat="false" ht="15" hidden="false" customHeight="false" outlineLevel="0" collapsed="false">
      <c r="A491" s="25"/>
      <c r="B491" s="20"/>
      <c r="C491" s="20"/>
      <c r="D491" s="7" t="str">
        <f aca="false">IF(C491="","",IFERROR(INDEX(Productos!$A$5:$A$104,MATCH(C491,Productos!$B$5:$B$104,0)),""))</f>
        <v/>
      </c>
      <c r="E491" s="7" t="str">
        <f aca="false">IF(C491="","",IFERROR(INDEX(Productos!$C$5:$C$104,MATCH(C491,Productos!$B$5:$B$104,0)),""))</f>
        <v/>
      </c>
      <c r="F491" s="21"/>
      <c r="G491" s="11" t="str">
        <f aca="false">IF(C491="","",IFERROR(INDEX(Productos!$G$5:$G$104,MATCH(C491,Productos!$B$5:$B$104,0)),0))</f>
        <v/>
      </c>
      <c r="H491" s="26"/>
      <c r="I491" s="11" t="str">
        <f aca="false">IF(C491="","",F491*G491*(1-H491))</f>
        <v/>
      </c>
      <c r="J491" s="20"/>
      <c r="K491" s="20"/>
      <c r="L491" s="11" t="str">
        <f aca="false">IF(C491="","",F491*IFERROR(INDEX(Productos!$F$5:$F$104,MATCH(C491,Productos!$B$5:$B$104,0)),0))</f>
        <v/>
      </c>
      <c r="M491" s="11" t="str">
        <f aca="false">IF(C491="","",I491-L491)</f>
        <v/>
      </c>
    </row>
    <row r="492" customFormat="false" ht="15" hidden="false" customHeight="false" outlineLevel="0" collapsed="false">
      <c r="A492" s="25"/>
      <c r="B492" s="20"/>
      <c r="C492" s="20"/>
      <c r="D492" s="7" t="str">
        <f aca="false">IF(C492="","",IFERROR(INDEX(Productos!$A$5:$A$104,MATCH(C492,Productos!$B$5:$B$104,0)),""))</f>
        <v/>
      </c>
      <c r="E492" s="7" t="str">
        <f aca="false">IF(C492="","",IFERROR(INDEX(Productos!$C$5:$C$104,MATCH(C492,Productos!$B$5:$B$104,0)),""))</f>
        <v/>
      </c>
      <c r="F492" s="21"/>
      <c r="G492" s="11" t="str">
        <f aca="false">IF(C492="","",IFERROR(INDEX(Productos!$G$5:$G$104,MATCH(C492,Productos!$B$5:$B$104,0)),0))</f>
        <v/>
      </c>
      <c r="H492" s="26"/>
      <c r="I492" s="11" t="str">
        <f aca="false">IF(C492="","",F492*G492*(1-H492))</f>
        <v/>
      </c>
      <c r="J492" s="20"/>
      <c r="K492" s="20"/>
      <c r="L492" s="11" t="str">
        <f aca="false">IF(C492="","",F492*IFERROR(INDEX(Productos!$F$5:$F$104,MATCH(C492,Productos!$B$5:$B$104,0)),0))</f>
        <v/>
      </c>
      <c r="M492" s="11" t="str">
        <f aca="false">IF(C492="","",I492-L492)</f>
        <v/>
      </c>
    </row>
    <row r="493" customFormat="false" ht="15" hidden="false" customHeight="false" outlineLevel="0" collapsed="false">
      <c r="A493" s="25"/>
      <c r="B493" s="20"/>
      <c r="C493" s="20"/>
      <c r="D493" s="7" t="str">
        <f aca="false">IF(C493="","",IFERROR(INDEX(Productos!$A$5:$A$104,MATCH(C493,Productos!$B$5:$B$104,0)),""))</f>
        <v/>
      </c>
      <c r="E493" s="7" t="str">
        <f aca="false">IF(C493="","",IFERROR(INDEX(Productos!$C$5:$C$104,MATCH(C493,Productos!$B$5:$B$104,0)),""))</f>
        <v/>
      </c>
      <c r="F493" s="21"/>
      <c r="G493" s="11" t="str">
        <f aca="false">IF(C493="","",IFERROR(INDEX(Productos!$G$5:$G$104,MATCH(C493,Productos!$B$5:$B$104,0)),0))</f>
        <v/>
      </c>
      <c r="H493" s="26"/>
      <c r="I493" s="11" t="str">
        <f aca="false">IF(C493="","",F493*G493*(1-H493))</f>
        <v/>
      </c>
      <c r="J493" s="20"/>
      <c r="K493" s="20"/>
      <c r="L493" s="11" t="str">
        <f aca="false">IF(C493="","",F493*IFERROR(INDEX(Productos!$F$5:$F$104,MATCH(C493,Productos!$B$5:$B$104,0)),0))</f>
        <v/>
      </c>
      <c r="M493" s="11" t="str">
        <f aca="false">IF(C493="","",I493-L493)</f>
        <v/>
      </c>
    </row>
    <row r="494" customFormat="false" ht="15" hidden="false" customHeight="false" outlineLevel="0" collapsed="false">
      <c r="A494" s="25"/>
      <c r="B494" s="20"/>
      <c r="C494" s="20"/>
      <c r="D494" s="7" t="str">
        <f aca="false">IF(C494="","",IFERROR(INDEX(Productos!$A$5:$A$104,MATCH(C494,Productos!$B$5:$B$104,0)),""))</f>
        <v/>
      </c>
      <c r="E494" s="7" t="str">
        <f aca="false">IF(C494="","",IFERROR(INDEX(Productos!$C$5:$C$104,MATCH(C494,Productos!$B$5:$B$104,0)),""))</f>
        <v/>
      </c>
      <c r="F494" s="21"/>
      <c r="G494" s="11" t="str">
        <f aca="false">IF(C494="","",IFERROR(INDEX(Productos!$G$5:$G$104,MATCH(C494,Productos!$B$5:$B$104,0)),0))</f>
        <v/>
      </c>
      <c r="H494" s="26"/>
      <c r="I494" s="11" t="str">
        <f aca="false">IF(C494="","",F494*G494*(1-H494))</f>
        <v/>
      </c>
      <c r="J494" s="20"/>
      <c r="K494" s="20"/>
      <c r="L494" s="11" t="str">
        <f aca="false">IF(C494="","",F494*IFERROR(INDEX(Productos!$F$5:$F$104,MATCH(C494,Productos!$B$5:$B$104,0)),0))</f>
        <v/>
      </c>
      <c r="M494" s="11" t="str">
        <f aca="false">IF(C494="","",I494-L494)</f>
        <v/>
      </c>
    </row>
    <row r="495" customFormat="false" ht="15" hidden="false" customHeight="false" outlineLevel="0" collapsed="false">
      <c r="A495" s="25"/>
      <c r="B495" s="20"/>
      <c r="C495" s="20"/>
      <c r="D495" s="7" t="str">
        <f aca="false">IF(C495="","",IFERROR(INDEX(Productos!$A$5:$A$104,MATCH(C495,Productos!$B$5:$B$104,0)),""))</f>
        <v/>
      </c>
      <c r="E495" s="7" t="str">
        <f aca="false">IF(C495="","",IFERROR(INDEX(Productos!$C$5:$C$104,MATCH(C495,Productos!$B$5:$B$104,0)),""))</f>
        <v/>
      </c>
      <c r="F495" s="21"/>
      <c r="G495" s="11" t="str">
        <f aca="false">IF(C495="","",IFERROR(INDEX(Productos!$G$5:$G$104,MATCH(C495,Productos!$B$5:$B$104,0)),0))</f>
        <v/>
      </c>
      <c r="H495" s="26"/>
      <c r="I495" s="11" t="str">
        <f aca="false">IF(C495="","",F495*G495*(1-H495))</f>
        <v/>
      </c>
      <c r="J495" s="20"/>
      <c r="K495" s="20"/>
      <c r="L495" s="11" t="str">
        <f aca="false">IF(C495="","",F495*IFERROR(INDEX(Productos!$F$5:$F$104,MATCH(C495,Productos!$B$5:$B$104,0)),0))</f>
        <v/>
      </c>
      <c r="M495" s="11" t="str">
        <f aca="false">IF(C495="","",I495-L495)</f>
        <v/>
      </c>
    </row>
    <row r="496" customFormat="false" ht="15" hidden="false" customHeight="false" outlineLevel="0" collapsed="false">
      <c r="A496" s="25"/>
      <c r="B496" s="20"/>
      <c r="C496" s="20"/>
      <c r="D496" s="7" t="str">
        <f aca="false">IF(C496="","",IFERROR(INDEX(Productos!$A$5:$A$104,MATCH(C496,Productos!$B$5:$B$104,0)),""))</f>
        <v/>
      </c>
      <c r="E496" s="7" t="str">
        <f aca="false">IF(C496="","",IFERROR(INDEX(Productos!$C$5:$C$104,MATCH(C496,Productos!$B$5:$B$104,0)),""))</f>
        <v/>
      </c>
      <c r="F496" s="21"/>
      <c r="G496" s="11" t="str">
        <f aca="false">IF(C496="","",IFERROR(INDEX(Productos!$G$5:$G$104,MATCH(C496,Productos!$B$5:$B$104,0)),0))</f>
        <v/>
      </c>
      <c r="H496" s="26"/>
      <c r="I496" s="11" t="str">
        <f aca="false">IF(C496="","",F496*G496*(1-H496))</f>
        <v/>
      </c>
      <c r="J496" s="20"/>
      <c r="K496" s="20"/>
      <c r="L496" s="11" t="str">
        <f aca="false">IF(C496="","",F496*IFERROR(INDEX(Productos!$F$5:$F$104,MATCH(C496,Productos!$B$5:$B$104,0)),0))</f>
        <v/>
      </c>
      <c r="M496" s="11" t="str">
        <f aca="false">IF(C496="","",I496-L496)</f>
        <v/>
      </c>
    </row>
    <row r="497" customFormat="false" ht="15" hidden="false" customHeight="false" outlineLevel="0" collapsed="false">
      <c r="A497" s="25"/>
      <c r="B497" s="20"/>
      <c r="C497" s="20"/>
      <c r="D497" s="7" t="str">
        <f aca="false">IF(C497="","",IFERROR(INDEX(Productos!$A$5:$A$104,MATCH(C497,Productos!$B$5:$B$104,0)),""))</f>
        <v/>
      </c>
      <c r="E497" s="7" t="str">
        <f aca="false">IF(C497="","",IFERROR(INDEX(Productos!$C$5:$C$104,MATCH(C497,Productos!$B$5:$B$104,0)),""))</f>
        <v/>
      </c>
      <c r="F497" s="21"/>
      <c r="G497" s="11" t="str">
        <f aca="false">IF(C497="","",IFERROR(INDEX(Productos!$G$5:$G$104,MATCH(C497,Productos!$B$5:$B$104,0)),0))</f>
        <v/>
      </c>
      <c r="H497" s="26"/>
      <c r="I497" s="11" t="str">
        <f aca="false">IF(C497="","",F497*G497*(1-H497))</f>
        <v/>
      </c>
      <c r="J497" s="20"/>
      <c r="K497" s="20"/>
      <c r="L497" s="11" t="str">
        <f aca="false">IF(C497="","",F497*IFERROR(INDEX(Productos!$F$5:$F$104,MATCH(C497,Productos!$B$5:$B$104,0)),0))</f>
        <v/>
      </c>
      <c r="M497" s="11" t="str">
        <f aca="false">IF(C497="","",I497-L497)</f>
        <v/>
      </c>
    </row>
    <row r="498" customFormat="false" ht="15" hidden="false" customHeight="false" outlineLevel="0" collapsed="false">
      <c r="A498" s="25"/>
      <c r="B498" s="20"/>
      <c r="C498" s="20"/>
      <c r="D498" s="7" t="str">
        <f aca="false">IF(C498="","",IFERROR(INDEX(Productos!$A$5:$A$104,MATCH(C498,Productos!$B$5:$B$104,0)),""))</f>
        <v/>
      </c>
      <c r="E498" s="7" t="str">
        <f aca="false">IF(C498="","",IFERROR(INDEX(Productos!$C$5:$C$104,MATCH(C498,Productos!$B$5:$B$104,0)),""))</f>
        <v/>
      </c>
      <c r="F498" s="21"/>
      <c r="G498" s="11" t="str">
        <f aca="false">IF(C498="","",IFERROR(INDEX(Productos!$G$5:$G$104,MATCH(C498,Productos!$B$5:$B$104,0)),0))</f>
        <v/>
      </c>
      <c r="H498" s="26"/>
      <c r="I498" s="11" t="str">
        <f aca="false">IF(C498="","",F498*G498*(1-H498))</f>
        <v/>
      </c>
      <c r="J498" s="20"/>
      <c r="K498" s="20"/>
      <c r="L498" s="11" t="str">
        <f aca="false">IF(C498="","",F498*IFERROR(INDEX(Productos!$F$5:$F$104,MATCH(C498,Productos!$B$5:$B$104,0)),0))</f>
        <v/>
      </c>
      <c r="M498" s="11" t="str">
        <f aca="false">IF(C498="","",I498-L498)</f>
        <v/>
      </c>
    </row>
    <row r="499" customFormat="false" ht="15" hidden="false" customHeight="false" outlineLevel="0" collapsed="false">
      <c r="A499" s="25"/>
      <c r="B499" s="20"/>
      <c r="C499" s="20"/>
      <c r="D499" s="7" t="str">
        <f aca="false">IF(C499="","",IFERROR(INDEX(Productos!$A$5:$A$104,MATCH(C499,Productos!$B$5:$B$104,0)),""))</f>
        <v/>
      </c>
      <c r="E499" s="7" t="str">
        <f aca="false">IF(C499="","",IFERROR(INDEX(Productos!$C$5:$C$104,MATCH(C499,Productos!$B$5:$B$104,0)),""))</f>
        <v/>
      </c>
      <c r="F499" s="21"/>
      <c r="G499" s="11" t="str">
        <f aca="false">IF(C499="","",IFERROR(INDEX(Productos!$G$5:$G$104,MATCH(C499,Productos!$B$5:$B$104,0)),0))</f>
        <v/>
      </c>
      <c r="H499" s="26"/>
      <c r="I499" s="11" t="str">
        <f aca="false">IF(C499="","",F499*G499*(1-H499))</f>
        <v/>
      </c>
      <c r="J499" s="20"/>
      <c r="K499" s="20"/>
      <c r="L499" s="11" t="str">
        <f aca="false">IF(C499="","",F499*IFERROR(INDEX(Productos!$F$5:$F$104,MATCH(C499,Productos!$B$5:$B$104,0)),0))</f>
        <v/>
      </c>
      <c r="M499" s="11" t="str">
        <f aca="false">IF(C499="","",I499-L499)</f>
        <v/>
      </c>
    </row>
    <row r="500" customFormat="false" ht="15" hidden="false" customHeight="false" outlineLevel="0" collapsed="false">
      <c r="A500" s="25"/>
      <c r="B500" s="20"/>
      <c r="C500" s="20"/>
      <c r="D500" s="7" t="str">
        <f aca="false">IF(C500="","",IFERROR(INDEX(Productos!$A$5:$A$104,MATCH(C500,Productos!$B$5:$B$104,0)),""))</f>
        <v/>
      </c>
      <c r="E500" s="7" t="str">
        <f aca="false">IF(C500="","",IFERROR(INDEX(Productos!$C$5:$C$104,MATCH(C500,Productos!$B$5:$B$104,0)),""))</f>
        <v/>
      </c>
      <c r="F500" s="21"/>
      <c r="G500" s="11" t="str">
        <f aca="false">IF(C500="","",IFERROR(INDEX(Productos!$G$5:$G$104,MATCH(C500,Productos!$B$5:$B$104,0)),0))</f>
        <v/>
      </c>
      <c r="H500" s="26"/>
      <c r="I500" s="11" t="str">
        <f aca="false">IF(C500="","",F500*G500*(1-H500))</f>
        <v/>
      </c>
      <c r="J500" s="20"/>
      <c r="K500" s="20"/>
      <c r="L500" s="11" t="str">
        <f aca="false">IF(C500="","",F500*IFERROR(INDEX(Productos!$F$5:$F$104,MATCH(C500,Productos!$B$5:$B$104,0)),0))</f>
        <v/>
      </c>
      <c r="M500" s="11" t="str">
        <f aca="false">IF(C500="","",I500-L500)</f>
        <v/>
      </c>
    </row>
    <row r="501" customFormat="false" ht="15" hidden="false" customHeight="false" outlineLevel="0" collapsed="false">
      <c r="A501" s="25"/>
      <c r="B501" s="20"/>
      <c r="C501" s="20"/>
      <c r="D501" s="7" t="str">
        <f aca="false">IF(C501="","",IFERROR(INDEX(Productos!$A$5:$A$104,MATCH(C501,Productos!$B$5:$B$104,0)),""))</f>
        <v/>
      </c>
      <c r="E501" s="7" t="str">
        <f aca="false">IF(C501="","",IFERROR(INDEX(Productos!$C$5:$C$104,MATCH(C501,Productos!$B$5:$B$104,0)),""))</f>
        <v/>
      </c>
      <c r="F501" s="21"/>
      <c r="G501" s="11" t="str">
        <f aca="false">IF(C501="","",IFERROR(INDEX(Productos!$G$5:$G$104,MATCH(C501,Productos!$B$5:$B$104,0)),0))</f>
        <v/>
      </c>
      <c r="H501" s="26"/>
      <c r="I501" s="11" t="str">
        <f aca="false">IF(C501="","",F501*G501*(1-H501))</f>
        <v/>
      </c>
      <c r="J501" s="20"/>
      <c r="K501" s="20"/>
      <c r="L501" s="11" t="str">
        <f aca="false">IF(C501="","",F501*IFERROR(INDEX(Productos!$F$5:$F$104,MATCH(C501,Productos!$B$5:$B$104,0)),0))</f>
        <v/>
      </c>
      <c r="M501" s="11" t="str">
        <f aca="false">IF(C501="","",I501-L501)</f>
        <v/>
      </c>
    </row>
    <row r="502" customFormat="false" ht="15" hidden="false" customHeight="false" outlineLevel="0" collapsed="false">
      <c r="A502" s="25"/>
      <c r="B502" s="20"/>
      <c r="C502" s="20"/>
      <c r="D502" s="7" t="str">
        <f aca="false">IF(C502="","",IFERROR(INDEX(Productos!$A$5:$A$104,MATCH(C502,Productos!$B$5:$B$104,0)),""))</f>
        <v/>
      </c>
      <c r="E502" s="7" t="str">
        <f aca="false">IF(C502="","",IFERROR(INDEX(Productos!$C$5:$C$104,MATCH(C502,Productos!$B$5:$B$104,0)),""))</f>
        <v/>
      </c>
      <c r="F502" s="21"/>
      <c r="G502" s="11" t="str">
        <f aca="false">IF(C502="","",IFERROR(INDEX(Productos!$G$5:$G$104,MATCH(C502,Productos!$B$5:$B$104,0)),0))</f>
        <v/>
      </c>
      <c r="H502" s="26"/>
      <c r="I502" s="11" t="str">
        <f aca="false">IF(C502="","",F502*G502*(1-H502))</f>
        <v/>
      </c>
      <c r="J502" s="20"/>
      <c r="K502" s="20"/>
      <c r="L502" s="11" t="str">
        <f aca="false">IF(C502="","",F502*IFERROR(INDEX(Productos!$F$5:$F$104,MATCH(C502,Productos!$B$5:$B$104,0)),0))</f>
        <v/>
      </c>
      <c r="M502" s="11" t="str">
        <f aca="false">IF(C502="","",I502-L502)</f>
        <v/>
      </c>
    </row>
    <row r="503" customFormat="false" ht="15" hidden="false" customHeight="false" outlineLevel="0" collapsed="false">
      <c r="A503" s="25"/>
      <c r="B503" s="20"/>
      <c r="C503" s="20"/>
      <c r="D503" s="7" t="str">
        <f aca="false">IF(C503="","",IFERROR(INDEX(Productos!$A$5:$A$104,MATCH(C503,Productos!$B$5:$B$104,0)),""))</f>
        <v/>
      </c>
      <c r="E503" s="7" t="str">
        <f aca="false">IF(C503="","",IFERROR(INDEX(Productos!$C$5:$C$104,MATCH(C503,Productos!$B$5:$B$104,0)),""))</f>
        <v/>
      </c>
      <c r="F503" s="21"/>
      <c r="G503" s="11" t="str">
        <f aca="false">IF(C503="","",IFERROR(INDEX(Productos!$G$5:$G$104,MATCH(C503,Productos!$B$5:$B$104,0)),0))</f>
        <v/>
      </c>
      <c r="H503" s="26"/>
      <c r="I503" s="11" t="str">
        <f aca="false">IF(C503="","",F503*G503*(1-H503))</f>
        <v/>
      </c>
      <c r="J503" s="20"/>
      <c r="K503" s="20"/>
      <c r="L503" s="11" t="str">
        <f aca="false">IF(C503="","",F503*IFERROR(INDEX(Productos!$F$5:$F$104,MATCH(C503,Productos!$B$5:$B$104,0)),0))</f>
        <v/>
      </c>
      <c r="M503" s="11" t="str">
        <f aca="false">IF(C503="","",I503-L503)</f>
        <v/>
      </c>
    </row>
    <row r="504" customFormat="false" ht="15" hidden="false" customHeight="false" outlineLevel="0" collapsed="false">
      <c r="A504" s="25"/>
      <c r="B504" s="20"/>
      <c r="C504" s="20"/>
      <c r="D504" s="7" t="str">
        <f aca="false">IF(C504="","",IFERROR(INDEX(Productos!$A$5:$A$104,MATCH(C504,Productos!$B$5:$B$104,0)),""))</f>
        <v/>
      </c>
      <c r="E504" s="7" t="str">
        <f aca="false">IF(C504="","",IFERROR(INDEX(Productos!$C$5:$C$104,MATCH(C504,Productos!$B$5:$B$104,0)),""))</f>
        <v/>
      </c>
      <c r="F504" s="21"/>
      <c r="G504" s="11" t="str">
        <f aca="false">IF(C504="","",IFERROR(INDEX(Productos!$G$5:$G$104,MATCH(C504,Productos!$B$5:$B$104,0)),0))</f>
        <v/>
      </c>
      <c r="H504" s="26"/>
      <c r="I504" s="11" t="str">
        <f aca="false">IF(C504="","",F504*G504*(1-H504))</f>
        <v/>
      </c>
      <c r="J504" s="20"/>
      <c r="K504" s="20"/>
      <c r="L504" s="11" t="str">
        <f aca="false">IF(C504="","",F504*IFERROR(INDEX(Productos!$F$5:$F$104,MATCH(C504,Productos!$B$5:$B$104,0)),0))</f>
        <v/>
      </c>
      <c r="M504" s="11" t="str">
        <f aca="false">IF(C504="","",I504-L504)</f>
        <v/>
      </c>
    </row>
  </sheetData>
  <dataValidations count="2">
    <dataValidation allowBlank="true" errorStyle="stop" operator="between" showDropDown="false" showErrorMessage="false" showInputMessage="false" sqref="C5:C504" type="list">
      <formula1>Productos!$B$5:$B$104</formula1>
      <formula2>0</formula2>
    </dataValidation>
    <dataValidation allowBlank="true" errorStyle="stop" operator="between" showDropDown="false" showErrorMessage="false" showInputMessage="false" sqref="J5:J504" type="list">
      <formula1>Config!$F$4:$F$5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125</v>
      </c>
    </row>
    <row r="2" customFormat="false" ht="15" hidden="false" customHeight="false" outlineLevel="0" collapsed="false">
      <c r="A2" s="5" t="s">
        <v>126</v>
      </c>
    </row>
    <row r="3" customFormat="false" ht="15" hidden="false" customHeight="false" outlineLevel="0" collapsed="false">
      <c r="A3" s="9" t="s">
        <v>102</v>
      </c>
      <c r="B3" s="9"/>
      <c r="C3" s="9"/>
      <c r="D3" s="9"/>
      <c r="E3" s="13" t="n">
        <f aca="false">SUM(E5:E304)</f>
        <v>277</v>
      </c>
      <c r="F3" s="9"/>
      <c r="G3" s="14" t="n">
        <f aca="false">SUM(G5:G304)</f>
        <v>333.9</v>
      </c>
    </row>
    <row r="4" customFormat="false" ht="31.5" hidden="false" customHeight="true" outlineLevel="0" collapsed="false">
      <c r="A4" s="19" t="s">
        <v>110</v>
      </c>
      <c r="B4" s="19" t="s">
        <v>56</v>
      </c>
      <c r="C4" s="19" t="s">
        <v>55</v>
      </c>
      <c r="D4" s="19" t="s">
        <v>57</v>
      </c>
      <c r="E4" s="19" t="s">
        <v>112</v>
      </c>
      <c r="F4" s="19" t="s">
        <v>59</v>
      </c>
      <c r="G4" s="19" t="s">
        <v>127</v>
      </c>
    </row>
    <row r="5" customFormat="false" ht="15" hidden="false" customHeight="false" outlineLevel="0" collapsed="false">
      <c r="A5" s="25" t="n">
        <v>46267</v>
      </c>
      <c r="B5" s="20" t="s">
        <v>65</v>
      </c>
      <c r="C5" s="7" t="str">
        <f aca="false">IF(B5="","",IFERROR(INDEX(Productos!$A$5:$A$104,MATCH(B5,Productos!$B$5:$B$104,0)),""))</f>
        <v>P001</v>
      </c>
      <c r="D5" s="7" t="str">
        <f aca="false">IF(B5="","",IFERROR(INDEX(Productos!$D$5:$D$104,MATCH(B5,Productos!$B$5:$B$104,0)),""))</f>
        <v>Distribuidora Norte</v>
      </c>
      <c r="E5" s="21" t="n">
        <v>40</v>
      </c>
      <c r="F5" s="11" t="n">
        <f aca="false">IF(B5="","",IFERROR(INDEX(Productos!$F$5:$F$104,MATCH(B5,Productos!$B$5:$B$104,0)),0))</f>
        <v>0.9</v>
      </c>
      <c r="G5" s="11" t="n">
        <f aca="false">IF(B5="","",E5*F5)</f>
        <v>36</v>
      </c>
    </row>
    <row r="6" customFormat="false" ht="15" hidden="false" customHeight="false" outlineLevel="0" collapsed="false">
      <c r="A6" s="25" t="n">
        <v>46267</v>
      </c>
      <c r="B6" s="20" t="s">
        <v>71</v>
      </c>
      <c r="C6" s="7" t="str">
        <f aca="false">IF(B6="","",IFERROR(INDEX(Productos!$A$5:$A$104,MATCH(B6,Productos!$B$5:$B$104,0)),""))</f>
        <v>P003</v>
      </c>
      <c r="D6" s="7" t="str">
        <f aca="false">IF(B6="","",IFERROR(INDEX(Productos!$D$5:$D$104,MATCH(B6,Productos!$B$5:$B$104,0)),""))</f>
        <v>Lácteos del Sur</v>
      </c>
      <c r="E6" s="21" t="n">
        <v>60</v>
      </c>
      <c r="F6" s="11" t="n">
        <f aca="false">IF(B6="","",IFERROR(INDEX(Productos!$F$5:$F$104,MATCH(B6,Productos!$B$5:$B$104,0)),0))</f>
        <v>0.65</v>
      </c>
      <c r="G6" s="11" t="n">
        <f aca="false">IF(B6="","",E6*F6)</f>
        <v>39</v>
      </c>
    </row>
    <row r="7" customFormat="false" ht="15" hidden="false" customHeight="false" outlineLevel="0" collapsed="false">
      <c r="A7" s="25" t="n">
        <v>46274</v>
      </c>
      <c r="B7" s="20" t="s">
        <v>77</v>
      </c>
      <c r="C7" s="7" t="str">
        <f aca="false">IF(B7="","",IFERROR(INDEX(Productos!$A$5:$A$104,MATCH(B7,Productos!$B$5:$B$104,0)),""))</f>
        <v>P005</v>
      </c>
      <c r="D7" s="7" t="str">
        <f aca="false">IF(B7="","",IFERROR(INDEX(Productos!$D$5:$D$104,MATCH(B7,Productos!$B$5:$B$104,0)),""))</f>
        <v>Bebidas Central</v>
      </c>
      <c r="E7" s="21" t="n">
        <v>30</v>
      </c>
      <c r="F7" s="11" t="n">
        <f aca="false">IF(B7="","",IFERROR(INDEX(Productos!$F$5:$F$104,MATCH(B7,Productos!$B$5:$B$104,0)),0))</f>
        <v>1</v>
      </c>
      <c r="G7" s="11" t="n">
        <f aca="false">IF(B7="","",E7*F7)</f>
        <v>30</v>
      </c>
    </row>
    <row r="8" customFormat="false" ht="15" hidden="false" customHeight="false" outlineLevel="0" collapsed="false">
      <c r="A8" s="25" t="n">
        <v>46280</v>
      </c>
      <c r="B8" s="20" t="s">
        <v>83</v>
      </c>
      <c r="C8" s="7" t="str">
        <f aca="false">IF(B8="","",IFERROR(INDEX(Productos!$A$5:$A$104,MATCH(B8,Productos!$B$5:$B$104,0)),""))</f>
        <v>P007</v>
      </c>
      <c r="D8" s="7" t="str">
        <f aca="false">IF(B8="","",IFERROR(INDEX(Productos!$D$5:$D$104,MATCH(B8,Productos!$B$5:$B$104,0)),""))</f>
        <v>Hogar Plus</v>
      </c>
      <c r="E8" s="21" t="n">
        <v>12</v>
      </c>
      <c r="F8" s="11" t="n">
        <f aca="false">IF(B8="","",IFERROR(INDEX(Productos!$F$5:$F$104,MATCH(B8,Productos!$B$5:$B$104,0)),0))</f>
        <v>5.2</v>
      </c>
      <c r="G8" s="11" t="n">
        <f aca="false">IF(B8="","",E8*F8)</f>
        <v>62.4</v>
      </c>
    </row>
    <row r="9" customFormat="false" ht="15" hidden="false" customHeight="false" outlineLevel="0" collapsed="false">
      <c r="A9" s="25" t="n">
        <v>46287</v>
      </c>
      <c r="B9" s="20" t="s">
        <v>89</v>
      </c>
      <c r="C9" s="7" t="str">
        <f aca="false">IF(B9="","",IFERROR(INDEX(Productos!$A$5:$A$104,MATCH(B9,Productos!$B$5:$B$104,0)),""))</f>
        <v>P009</v>
      </c>
      <c r="D9" s="7" t="str">
        <f aca="false">IF(B9="","",IFERROR(INDEX(Productos!$D$5:$D$104,MATCH(B9,Productos!$B$5:$B$104,0)),""))</f>
        <v>Dulces SA</v>
      </c>
      <c r="E9" s="21" t="n">
        <v>25</v>
      </c>
      <c r="F9" s="11" t="n">
        <f aca="false">IF(B9="","",IFERROR(INDEX(Productos!$F$5:$F$104,MATCH(B9,Productos!$B$5:$B$104,0)),0))</f>
        <v>1.2</v>
      </c>
      <c r="G9" s="11" t="n">
        <f aca="false">IF(B9="","",E9*F9)</f>
        <v>30</v>
      </c>
    </row>
    <row r="10" customFormat="false" ht="15" hidden="false" customHeight="false" outlineLevel="0" collapsed="false">
      <c r="A10" s="25" t="n">
        <v>46296</v>
      </c>
      <c r="B10" s="20" t="s">
        <v>81</v>
      </c>
      <c r="C10" s="7" t="str">
        <f aca="false">IF(B10="","",IFERROR(INDEX(Productos!$A$5:$A$104,MATCH(B10,Productos!$B$5:$B$104,0)),""))</f>
        <v>P006</v>
      </c>
      <c r="D10" s="7" t="str">
        <f aca="false">IF(B10="","",IFERROR(INDEX(Productos!$D$5:$D$104,MATCH(B10,Productos!$B$5:$B$104,0)),""))</f>
        <v>Bebidas Central</v>
      </c>
      <c r="E10" s="21" t="n">
        <v>60</v>
      </c>
      <c r="F10" s="11" t="n">
        <f aca="false">IF(B10="","",IFERROR(INDEX(Productos!$F$5:$F$104,MATCH(B10,Productos!$B$5:$B$104,0)),0))</f>
        <v>0.3</v>
      </c>
      <c r="G10" s="11" t="n">
        <f aca="false">IF(B10="","",E10*F10)</f>
        <v>18</v>
      </c>
    </row>
    <row r="11" customFormat="false" ht="15" hidden="false" customHeight="false" outlineLevel="0" collapsed="false">
      <c r="A11" s="25" t="n">
        <v>46303</v>
      </c>
      <c r="B11" s="20" t="s">
        <v>69</v>
      </c>
      <c r="C11" s="7" t="str">
        <f aca="false">IF(B11="","",IFERROR(INDEX(Productos!$A$5:$A$104,MATCH(B11,Productos!$B$5:$B$104,0)),""))</f>
        <v>P002</v>
      </c>
      <c r="D11" s="7" t="str">
        <f aca="false">IF(B11="","",IFERROR(INDEX(Productos!$D$5:$D$104,MATCH(B11,Productos!$B$5:$B$104,0)),""))</f>
        <v>Distribuidora Norte</v>
      </c>
      <c r="E11" s="21" t="n">
        <v>20</v>
      </c>
      <c r="F11" s="11" t="n">
        <f aca="false">IF(B11="","",IFERROR(INDEX(Productos!$F$5:$F$104,MATCH(B11,Productos!$B$5:$B$104,0)),0))</f>
        <v>4.5</v>
      </c>
      <c r="G11" s="11" t="n">
        <f aca="false">IF(B11="","",E11*F11)</f>
        <v>90</v>
      </c>
    </row>
    <row r="12" customFormat="false" ht="15" hidden="false" customHeight="false" outlineLevel="0" collapsed="false">
      <c r="A12" s="25" t="n">
        <v>46310</v>
      </c>
      <c r="B12" s="20" t="s">
        <v>93</v>
      </c>
      <c r="C12" s="7" t="str">
        <f aca="false">IF(B12="","",IFERROR(INDEX(Productos!$A$5:$A$104,MATCH(B12,Productos!$B$5:$B$104,0)),""))</f>
        <v>P010</v>
      </c>
      <c r="D12" s="7" t="str">
        <f aca="false">IF(B12="","",IFERROR(INDEX(Productos!$D$5:$D$104,MATCH(B12,Productos!$B$5:$B$104,0)),""))</f>
        <v>Dulces SA</v>
      </c>
      <c r="E12" s="21" t="n">
        <v>30</v>
      </c>
      <c r="F12" s="11" t="n">
        <f aca="false">IF(B12="","",IFERROR(INDEX(Productos!$F$5:$F$104,MATCH(B12,Productos!$B$5:$B$104,0)),0))</f>
        <v>0.95</v>
      </c>
      <c r="G12" s="11" t="n">
        <f aca="false">IF(B12="","",E12*F12)</f>
        <v>28.5</v>
      </c>
    </row>
    <row r="13" customFormat="false" ht="15" hidden="false" customHeight="false" outlineLevel="0" collapsed="false">
      <c r="A13" s="25"/>
      <c r="B13" s="20"/>
      <c r="C13" s="7" t="str">
        <f aca="false">IF(B13="","",IFERROR(INDEX(Productos!$A$5:$A$104,MATCH(B13,Productos!$B$5:$B$104,0)),""))</f>
        <v/>
      </c>
      <c r="D13" s="7" t="str">
        <f aca="false">IF(B13="","",IFERROR(INDEX(Productos!$D$5:$D$104,MATCH(B13,Productos!$B$5:$B$104,0)),""))</f>
        <v/>
      </c>
      <c r="E13" s="21"/>
      <c r="F13" s="11" t="str">
        <f aca="false">IF(B13="","",IFERROR(INDEX(Productos!$F$5:$F$104,MATCH(B13,Productos!$B$5:$B$104,0)),0))</f>
        <v/>
      </c>
      <c r="G13" s="11" t="str">
        <f aca="false">IF(B13="","",E13*F13)</f>
        <v/>
      </c>
    </row>
    <row r="14" customFormat="false" ht="15" hidden="false" customHeight="false" outlineLevel="0" collapsed="false">
      <c r="A14" s="25"/>
      <c r="B14" s="20"/>
      <c r="C14" s="7" t="str">
        <f aca="false">IF(B14="","",IFERROR(INDEX(Productos!$A$5:$A$104,MATCH(B14,Productos!$B$5:$B$104,0)),""))</f>
        <v/>
      </c>
      <c r="D14" s="7" t="str">
        <f aca="false">IF(B14="","",IFERROR(INDEX(Productos!$D$5:$D$104,MATCH(B14,Productos!$B$5:$B$104,0)),""))</f>
        <v/>
      </c>
      <c r="E14" s="21"/>
      <c r="F14" s="11" t="str">
        <f aca="false">IF(B14="","",IFERROR(INDEX(Productos!$F$5:$F$104,MATCH(B14,Productos!$B$5:$B$104,0)),0))</f>
        <v/>
      </c>
      <c r="G14" s="11" t="str">
        <f aca="false">IF(B14="","",E14*F14)</f>
        <v/>
      </c>
    </row>
    <row r="15" customFormat="false" ht="15" hidden="false" customHeight="false" outlineLevel="0" collapsed="false">
      <c r="A15" s="25"/>
      <c r="B15" s="20"/>
      <c r="C15" s="7" t="str">
        <f aca="false">IF(B15="","",IFERROR(INDEX(Productos!$A$5:$A$104,MATCH(B15,Productos!$B$5:$B$104,0)),""))</f>
        <v/>
      </c>
      <c r="D15" s="7" t="str">
        <f aca="false">IF(B15="","",IFERROR(INDEX(Productos!$D$5:$D$104,MATCH(B15,Productos!$B$5:$B$104,0)),""))</f>
        <v/>
      </c>
      <c r="E15" s="21"/>
      <c r="F15" s="11" t="str">
        <f aca="false">IF(B15="","",IFERROR(INDEX(Productos!$F$5:$F$104,MATCH(B15,Productos!$B$5:$B$104,0)),0))</f>
        <v/>
      </c>
      <c r="G15" s="11" t="str">
        <f aca="false">IF(B15="","",E15*F15)</f>
        <v/>
      </c>
    </row>
    <row r="16" customFormat="false" ht="15" hidden="false" customHeight="false" outlineLevel="0" collapsed="false">
      <c r="A16" s="25"/>
      <c r="B16" s="20"/>
      <c r="C16" s="7" t="str">
        <f aca="false">IF(B16="","",IFERROR(INDEX(Productos!$A$5:$A$104,MATCH(B16,Productos!$B$5:$B$104,0)),""))</f>
        <v/>
      </c>
      <c r="D16" s="7" t="str">
        <f aca="false">IF(B16="","",IFERROR(INDEX(Productos!$D$5:$D$104,MATCH(B16,Productos!$B$5:$B$104,0)),""))</f>
        <v/>
      </c>
      <c r="E16" s="21"/>
      <c r="F16" s="11" t="str">
        <f aca="false">IF(B16="","",IFERROR(INDEX(Productos!$F$5:$F$104,MATCH(B16,Productos!$B$5:$B$104,0)),0))</f>
        <v/>
      </c>
      <c r="G16" s="11" t="str">
        <f aca="false">IF(B16="","",E16*F16)</f>
        <v/>
      </c>
    </row>
    <row r="17" customFormat="false" ht="15" hidden="false" customHeight="false" outlineLevel="0" collapsed="false">
      <c r="A17" s="25"/>
      <c r="B17" s="20"/>
      <c r="C17" s="7" t="str">
        <f aca="false">IF(B17="","",IFERROR(INDEX(Productos!$A$5:$A$104,MATCH(B17,Productos!$B$5:$B$104,0)),""))</f>
        <v/>
      </c>
      <c r="D17" s="7" t="str">
        <f aca="false">IF(B17="","",IFERROR(INDEX(Productos!$D$5:$D$104,MATCH(B17,Productos!$B$5:$B$104,0)),""))</f>
        <v/>
      </c>
      <c r="E17" s="21"/>
      <c r="F17" s="11" t="str">
        <f aca="false">IF(B17="","",IFERROR(INDEX(Productos!$F$5:$F$104,MATCH(B17,Productos!$B$5:$B$104,0)),0))</f>
        <v/>
      </c>
      <c r="G17" s="11" t="str">
        <f aca="false">IF(B17="","",E17*F17)</f>
        <v/>
      </c>
    </row>
    <row r="18" customFormat="false" ht="15" hidden="false" customHeight="false" outlineLevel="0" collapsed="false">
      <c r="A18" s="25"/>
      <c r="B18" s="20"/>
      <c r="C18" s="7" t="str">
        <f aca="false">IF(B18="","",IFERROR(INDEX(Productos!$A$5:$A$104,MATCH(B18,Productos!$B$5:$B$104,0)),""))</f>
        <v/>
      </c>
      <c r="D18" s="7" t="str">
        <f aca="false">IF(B18="","",IFERROR(INDEX(Productos!$D$5:$D$104,MATCH(B18,Productos!$B$5:$B$104,0)),""))</f>
        <v/>
      </c>
      <c r="E18" s="21"/>
      <c r="F18" s="11" t="str">
        <f aca="false">IF(B18="","",IFERROR(INDEX(Productos!$F$5:$F$104,MATCH(B18,Productos!$B$5:$B$104,0)),0))</f>
        <v/>
      </c>
      <c r="G18" s="11" t="str">
        <f aca="false">IF(B18="","",E18*F18)</f>
        <v/>
      </c>
    </row>
    <row r="19" customFormat="false" ht="15" hidden="false" customHeight="false" outlineLevel="0" collapsed="false">
      <c r="A19" s="25"/>
      <c r="B19" s="20"/>
      <c r="C19" s="7" t="str">
        <f aca="false">IF(B19="","",IFERROR(INDEX(Productos!$A$5:$A$104,MATCH(B19,Productos!$B$5:$B$104,0)),""))</f>
        <v/>
      </c>
      <c r="D19" s="7" t="str">
        <f aca="false">IF(B19="","",IFERROR(INDEX(Productos!$D$5:$D$104,MATCH(B19,Productos!$B$5:$B$104,0)),""))</f>
        <v/>
      </c>
      <c r="E19" s="21"/>
      <c r="F19" s="11" t="str">
        <f aca="false">IF(B19="","",IFERROR(INDEX(Productos!$F$5:$F$104,MATCH(B19,Productos!$B$5:$B$104,0)),0))</f>
        <v/>
      </c>
      <c r="G19" s="11" t="str">
        <f aca="false">IF(B19="","",E19*F19)</f>
        <v/>
      </c>
    </row>
    <row r="20" customFormat="false" ht="15" hidden="false" customHeight="false" outlineLevel="0" collapsed="false">
      <c r="A20" s="25"/>
      <c r="B20" s="20"/>
      <c r="C20" s="7" t="str">
        <f aca="false">IF(B20="","",IFERROR(INDEX(Productos!$A$5:$A$104,MATCH(B20,Productos!$B$5:$B$104,0)),""))</f>
        <v/>
      </c>
      <c r="D20" s="7" t="str">
        <f aca="false">IF(B20="","",IFERROR(INDEX(Productos!$D$5:$D$104,MATCH(B20,Productos!$B$5:$B$104,0)),""))</f>
        <v/>
      </c>
      <c r="E20" s="21"/>
      <c r="F20" s="11" t="str">
        <f aca="false">IF(B20="","",IFERROR(INDEX(Productos!$F$5:$F$104,MATCH(B20,Productos!$B$5:$B$104,0)),0))</f>
        <v/>
      </c>
      <c r="G20" s="11" t="str">
        <f aca="false">IF(B20="","",E20*F20)</f>
        <v/>
      </c>
    </row>
    <row r="21" customFormat="false" ht="15" hidden="false" customHeight="false" outlineLevel="0" collapsed="false">
      <c r="A21" s="25"/>
      <c r="B21" s="20"/>
      <c r="C21" s="7" t="str">
        <f aca="false">IF(B21="","",IFERROR(INDEX(Productos!$A$5:$A$104,MATCH(B21,Productos!$B$5:$B$104,0)),""))</f>
        <v/>
      </c>
      <c r="D21" s="7" t="str">
        <f aca="false">IF(B21="","",IFERROR(INDEX(Productos!$D$5:$D$104,MATCH(B21,Productos!$B$5:$B$104,0)),""))</f>
        <v/>
      </c>
      <c r="E21" s="21"/>
      <c r="F21" s="11" t="str">
        <f aca="false">IF(B21="","",IFERROR(INDEX(Productos!$F$5:$F$104,MATCH(B21,Productos!$B$5:$B$104,0)),0))</f>
        <v/>
      </c>
      <c r="G21" s="11" t="str">
        <f aca="false">IF(B21="","",E21*F21)</f>
        <v/>
      </c>
    </row>
    <row r="22" customFormat="false" ht="15" hidden="false" customHeight="false" outlineLevel="0" collapsed="false">
      <c r="A22" s="25"/>
      <c r="B22" s="20"/>
      <c r="C22" s="7" t="str">
        <f aca="false">IF(B22="","",IFERROR(INDEX(Productos!$A$5:$A$104,MATCH(B22,Productos!$B$5:$B$104,0)),""))</f>
        <v/>
      </c>
      <c r="D22" s="7" t="str">
        <f aca="false">IF(B22="","",IFERROR(INDEX(Productos!$D$5:$D$104,MATCH(B22,Productos!$B$5:$B$104,0)),""))</f>
        <v/>
      </c>
      <c r="E22" s="21"/>
      <c r="F22" s="11" t="str">
        <f aca="false">IF(B22="","",IFERROR(INDEX(Productos!$F$5:$F$104,MATCH(B22,Productos!$B$5:$B$104,0)),0))</f>
        <v/>
      </c>
      <c r="G22" s="11" t="str">
        <f aca="false">IF(B22="","",E22*F22)</f>
        <v/>
      </c>
    </row>
    <row r="23" customFormat="false" ht="15" hidden="false" customHeight="false" outlineLevel="0" collapsed="false">
      <c r="A23" s="25"/>
      <c r="B23" s="20"/>
      <c r="C23" s="7" t="str">
        <f aca="false">IF(B23="","",IFERROR(INDEX(Productos!$A$5:$A$104,MATCH(B23,Productos!$B$5:$B$104,0)),""))</f>
        <v/>
      </c>
      <c r="D23" s="7" t="str">
        <f aca="false">IF(B23="","",IFERROR(INDEX(Productos!$D$5:$D$104,MATCH(B23,Productos!$B$5:$B$104,0)),""))</f>
        <v/>
      </c>
      <c r="E23" s="21"/>
      <c r="F23" s="11" t="str">
        <f aca="false">IF(B23="","",IFERROR(INDEX(Productos!$F$5:$F$104,MATCH(B23,Productos!$B$5:$B$104,0)),0))</f>
        <v/>
      </c>
      <c r="G23" s="11" t="str">
        <f aca="false">IF(B23="","",E23*F23)</f>
        <v/>
      </c>
    </row>
    <row r="24" customFormat="false" ht="15" hidden="false" customHeight="false" outlineLevel="0" collapsed="false">
      <c r="A24" s="25"/>
      <c r="B24" s="20"/>
      <c r="C24" s="7" t="str">
        <f aca="false">IF(B24="","",IFERROR(INDEX(Productos!$A$5:$A$104,MATCH(B24,Productos!$B$5:$B$104,0)),""))</f>
        <v/>
      </c>
      <c r="D24" s="7" t="str">
        <f aca="false">IF(B24="","",IFERROR(INDEX(Productos!$D$5:$D$104,MATCH(B24,Productos!$B$5:$B$104,0)),""))</f>
        <v/>
      </c>
      <c r="E24" s="21"/>
      <c r="F24" s="11" t="str">
        <f aca="false">IF(B24="","",IFERROR(INDEX(Productos!$F$5:$F$104,MATCH(B24,Productos!$B$5:$B$104,0)),0))</f>
        <v/>
      </c>
      <c r="G24" s="11" t="str">
        <f aca="false">IF(B24="","",E24*F24)</f>
        <v/>
      </c>
    </row>
    <row r="25" customFormat="false" ht="15" hidden="false" customHeight="false" outlineLevel="0" collapsed="false">
      <c r="A25" s="25"/>
      <c r="B25" s="20"/>
      <c r="C25" s="7" t="str">
        <f aca="false">IF(B25="","",IFERROR(INDEX(Productos!$A$5:$A$104,MATCH(B25,Productos!$B$5:$B$104,0)),""))</f>
        <v/>
      </c>
      <c r="D25" s="7" t="str">
        <f aca="false">IF(B25="","",IFERROR(INDEX(Productos!$D$5:$D$104,MATCH(B25,Productos!$B$5:$B$104,0)),""))</f>
        <v/>
      </c>
      <c r="E25" s="21"/>
      <c r="F25" s="11" t="str">
        <f aca="false">IF(B25="","",IFERROR(INDEX(Productos!$F$5:$F$104,MATCH(B25,Productos!$B$5:$B$104,0)),0))</f>
        <v/>
      </c>
      <c r="G25" s="11" t="str">
        <f aca="false">IF(B25="","",E25*F25)</f>
        <v/>
      </c>
    </row>
    <row r="26" customFormat="false" ht="15" hidden="false" customHeight="false" outlineLevel="0" collapsed="false">
      <c r="A26" s="25"/>
      <c r="B26" s="20"/>
      <c r="C26" s="7" t="str">
        <f aca="false">IF(B26="","",IFERROR(INDEX(Productos!$A$5:$A$104,MATCH(B26,Productos!$B$5:$B$104,0)),""))</f>
        <v/>
      </c>
      <c r="D26" s="7" t="str">
        <f aca="false">IF(B26="","",IFERROR(INDEX(Productos!$D$5:$D$104,MATCH(B26,Productos!$B$5:$B$104,0)),""))</f>
        <v/>
      </c>
      <c r="E26" s="21"/>
      <c r="F26" s="11" t="str">
        <f aca="false">IF(B26="","",IFERROR(INDEX(Productos!$F$5:$F$104,MATCH(B26,Productos!$B$5:$B$104,0)),0))</f>
        <v/>
      </c>
      <c r="G26" s="11" t="str">
        <f aca="false">IF(B26="","",E26*F26)</f>
        <v/>
      </c>
    </row>
    <row r="27" customFormat="false" ht="15" hidden="false" customHeight="false" outlineLevel="0" collapsed="false">
      <c r="A27" s="25"/>
      <c r="B27" s="20"/>
      <c r="C27" s="7" t="str">
        <f aca="false">IF(B27="","",IFERROR(INDEX(Productos!$A$5:$A$104,MATCH(B27,Productos!$B$5:$B$104,0)),""))</f>
        <v/>
      </c>
      <c r="D27" s="7" t="str">
        <f aca="false">IF(B27="","",IFERROR(INDEX(Productos!$D$5:$D$104,MATCH(B27,Productos!$B$5:$B$104,0)),""))</f>
        <v/>
      </c>
      <c r="E27" s="21"/>
      <c r="F27" s="11" t="str">
        <f aca="false">IF(B27="","",IFERROR(INDEX(Productos!$F$5:$F$104,MATCH(B27,Productos!$B$5:$B$104,0)),0))</f>
        <v/>
      </c>
      <c r="G27" s="11" t="str">
        <f aca="false">IF(B27="","",E27*F27)</f>
        <v/>
      </c>
    </row>
    <row r="28" customFormat="false" ht="15" hidden="false" customHeight="false" outlineLevel="0" collapsed="false">
      <c r="A28" s="25"/>
      <c r="B28" s="20"/>
      <c r="C28" s="7" t="str">
        <f aca="false">IF(B28="","",IFERROR(INDEX(Productos!$A$5:$A$104,MATCH(B28,Productos!$B$5:$B$104,0)),""))</f>
        <v/>
      </c>
      <c r="D28" s="7" t="str">
        <f aca="false">IF(B28="","",IFERROR(INDEX(Productos!$D$5:$D$104,MATCH(B28,Productos!$B$5:$B$104,0)),""))</f>
        <v/>
      </c>
      <c r="E28" s="21"/>
      <c r="F28" s="11" t="str">
        <f aca="false">IF(B28="","",IFERROR(INDEX(Productos!$F$5:$F$104,MATCH(B28,Productos!$B$5:$B$104,0)),0))</f>
        <v/>
      </c>
      <c r="G28" s="11" t="str">
        <f aca="false">IF(B28="","",E28*F28)</f>
        <v/>
      </c>
    </row>
    <row r="29" customFormat="false" ht="15" hidden="false" customHeight="false" outlineLevel="0" collapsed="false">
      <c r="A29" s="25"/>
      <c r="B29" s="20"/>
      <c r="C29" s="7" t="str">
        <f aca="false">IF(B29="","",IFERROR(INDEX(Productos!$A$5:$A$104,MATCH(B29,Productos!$B$5:$B$104,0)),""))</f>
        <v/>
      </c>
      <c r="D29" s="7" t="str">
        <f aca="false">IF(B29="","",IFERROR(INDEX(Productos!$D$5:$D$104,MATCH(B29,Productos!$B$5:$B$104,0)),""))</f>
        <v/>
      </c>
      <c r="E29" s="21"/>
      <c r="F29" s="11" t="str">
        <f aca="false">IF(B29="","",IFERROR(INDEX(Productos!$F$5:$F$104,MATCH(B29,Productos!$B$5:$B$104,0)),0))</f>
        <v/>
      </c>
      <c r="G29" s="11" t="str">
        <f aca="false">IF(B29="","",E29*F29)</f>
        <v/>
      </c>
    </row>
    <row r="30" customFormat="false" ht="15" hidden="false" customHeight="false" outlineLevel="0" collapsed="false">
      <c r="A30" s="25"/>
      <c r="B30" s="20"/>
      <c r="C30" s="7" t="str">
        <f aca="false">IF(B30="","",IFERROR(INDEX(Productos!$A$5:$A$104,MATCH(B30,Productos!$B$5:$B$104,0)),""))</f>
        <v/>
      </c>
      <c r="D30" s="7" t="str">
        <f aca="false">IF(B30="","",IFERROR(INDEX(Productos!$D$5:$D$104,MATCH(B30,Productos!$B$5:$B$104,0)),""))</f>
        <v/>
      </c>
      <c r="E30" s="21"/>
      <c r="F30" s="11" t="str">
        <f aca="false">IF(B30="","",IFERROR(INDEX(Productos!$F$5:$F$104,MATCH(B30,Productos!$B$5:$B$104,0)),0))</f>
        <v/>
      </c>
      <c r="G30" s="11" t="str">
        <f aca="false">IF(B30="","",E30*F30)</f>
        <v/>
      </c>
    </row>
    <row r="31" customFormat="false" ht="15" hidden="false" customHeight="false" outlineLevel="0" collapsed="false">
      <c r="A31" s="25"/>
      <c r="B31" s="20"/>
      <c r="C31" s="7" t="str">
        <f aca="false">IF(B31="","",IFERROR(INDEX(Productos!$A$5:$A$104,MATCH(B31,Productos!$B$5:$B$104,0)),""))</f>
        <v/>
      </c>
      <c r="D31" s="7" t="str">
        <f aca="false">IF(B31="","",IFERROR(INDEX(Productos!$D$5:$D$104,MATCH(B31,Productos!$B$5:$B$104,0)),""))</f>
        <v/>
      </c>
      <c r="E31" s="21"/>
      <c r="F31" s="11" t="str">
        <f aca="false">IF(B31="","",IFERROR(INDEX(Productos!$F$5:$F$104,MATCH(B31,Productos!$B$5:$B$104,0)),0))</f>
        <v/>
      </c>
      <c r="G31" s="11" t="str">
        <f aca="false">IF(B31="","",E31*F31)</f>
        <v/>
      </c>
    </row>
    <row r="32" customFormat="false" ht="15" hidden="false" customHeight="false" outlineLevel="0" collapsed="false">
      <c r="A32" s="25"/>
      <c r="B32" s="20"/>
      <c r="C32" s="7" t="str">
        <f aca="false">IF(B32="","",IFERROR(INDEX(Productos!$A$5:$A$104,MATCH(B32,Productos!$B$5:$B$104,0)),""))</f>
        <v/>
      </c>
      <c r="D32" s="7" t="str">
        <f aca="false">IF(B32="","",IFERROR(INDEX(Productos!$D$5:$D$104,MATCH(B32,Productos!$B$5:$B$104,0)),""))</f>
        <v/>
      </c>
      <c r="E32" s="21"/>
      <c r="F32" s="11" t="str">
        <f aca="false">IF(B32="","",IFERROR(INDEX(Productos!$F$5:$F$104,MATCH(B32,Productos!$B$5:$B$104,0)),0))</f>
        <v/>
      </c>
      <c r="G32" s="11" t="str">
        <f aca="false">IF(B32="","",E32*F32)</f>
        <v/>
      </c>
    </row>
    <row r="33" customFormat="false" ht="15" hidden="false" customHeight="false" outlineLevel="0" collapsed="false">
      <c r="A33" s="25"/>
      <c r="B33" s="20"/>
      <c r="C33" s="7" t="str">
        <f aca="false">IF(B33="","",IFERROR(INDEX(Productos!$A$5:$A$104,MATCH(B33,Productos!$B$5:$B$104,0)),""))</f>
        <v/>
      </c>
      <c r="D33" s="7" t="str">
        <f aca="false">IF(B33="","",IFERROR(INDEX(Productos!$D$5:$D$104,MATCH(B33,Productos!$B$5:$B$104,0)),""))</f>
        <v/>
      </c>
      <c r="E33" s="21"/>
      <c r="F33" s="11" t="str">
        <f aca="false">IF(B33="","",IFERROR(INDEX(Productos!$F$5:$F$104,MATCH(B33,Productos!$B$5:$B$104,0)),0))</f>
        <v/>
      </c>
      <c r="G33" s="11" t="str">
        <f aca="false">IF(B33="","",E33*F33)</f>
        <v/>
      </c>
    </row>
    <row r="34" customFormat="false" ht="15" hidden="false" customHeight="false" outlineLevel="0" collapsed="false">
      <c r="A34" s="25"/>
      <c r="B34" s="20"/>
      <c r="C34" s="7" t="str">
        <f aca="false">IF(B34="","",IFERROR(INDEX(Productos!$A$5:$A$104,MATCH(B34,Productos!$B$5:$B$104,0)),""))</f>
        <v/>
      </c>
      <c r="D34" s="7" t="str">
        <f aca="false">IF(B34="","",IFERROR(INDEX(Productos!$D$5:$D$104,MATCH(B34,Productos!$B$5:$B$104,0)),""))</f>
        <v/>
      </c>
      <c r="E34" s="21"/>
      <c r="F34" s="11" t="str">
        <f aca="false">IF(B34="","",IFERROR(INDEX(Productos!$F$5:$F$104,MATCH(B34,Productos!$B$5:$B$104,0)),0))</f>
        <v/>
      </c>
      <c r="G34" s="11" t="str">
        <f aca="false">IF(B34="","",E34*F34)</f>
        <v/>
      </c>
    </row>
    <row r="35" customFormat="false" ht="15" hidden="false" customHeight="false" outlineLevel="0" collapsed="false">
      <c r="A35" s="25"/>
      <c r="B35" s="20"/>
      <c r="C35" s="7" t="str">
        <f aca="false">IF(B35="","",IFERROR(INDEX(Productos!$A$5:$A$104,MATCH(B35,Productos!$B$5:$B$104,0)),""))</f>
        <v/>
      </c>
      <c r="D35" s="7" t="str">
        <f aca="false">IF(B35="","",IFERROR(INDEX(Productos!$D$5:$D$104,MATCH(B35,Productos!$B$5:$B$104,0)),""))</f>
        <v/>
      </c>
      <c r="E35" s="21"/>
      <c r="F35" s="11" t="str">
        <f aca="false">IF(B35="","",IFERROR(INDEX(Productos!$F$5:$F$104,MATCH(B35,Productos!$B$5:$B$104,0)),0))</f>
        <v/>
      </c>
      <c r="G35" s="11" t="str">
        <f aca="false">IF(B35="","",E35*F35)</f>
        <v/>
      </c>
    </row>
    <row r="36" customFormat="false" ht="15" hidden="false" customHeight="false" outlineLevel="0" collapsed="false">
      <c r="A36" s="25"/>
      <c r="B36" s="20"/>
      <c r="C36" s="7" t="str">
        <f aca="false">IF(B36="","",IFERROR(INDEX(Productos!$A$5:$A$104,MATCH(B36,Productos!$B$5:$B$104,0)),""))</f>
        <v/>
      </c>
      <c r="D36" s="7" t="str">
        <f aca="false">IF(B36="","",IFERROR(INDEX(Productos!$D$5:$D$104,MATCH(B36,Productos!$B$5:$B$104,0)),""))</f>
        <v/>
      </c>
      <c r="E36" s="21"/>
      <c r="F36" s="11" t="str">
        <f aca="false">IF(B36="","",IFERROR(INDEX(Productos!$F$5:$F$104,MATCH(B36,Productos!$B$5:$B$104,0)),0))</f>
        <v/>
      </c>
      <c r="G36" s="11" t="str">
        <f aca="false">IF(B36="","",E36*F36)</f>
        <v/>
      </c>
    </row>
    <row r="37" customFormat="false" ht="15" hidden="false" customHeight="false" outlineLevel="0" collapsed="false">
      <c r="A37" s="25"/>
      <c r="B37" s="20"/>
      <c r="C37" s="7" t="str">
        <f aca="false">IF(B37="","",IFERROR(INDEX(Productos!$A$5:$A$104,MATCH(B37,Productos!$B$5:$B$104,0)),""))</f>
        <v/>
      </c>
      <c r="D37" s="7" t="str">
        <f aca="false">IF(B37="","",IFERROR(INDEX(Productos!$D$5:$D$104,MATCH(B37,Productos!$B$5:$B$104,0)),""))</f>
        <v/>
      </c>
      <c r="E37" s="21"/>
      <c r="F37" s="11" t="str">
        <f aca="false">IF(B37="","",IFERROR(INDEX(Productos!$F$5:$F$104,MATCH(B37,Productos!$B$5:$B$104,0)),0))</f>
        <v/>
      </c>
      <c r="G37" s="11" t="str">
        <f aca="false">IF(B37="","",E37*F37)</f>
        <v/>
      </c>
    </row>
    <row r="38" customFormat="false" ht="15" hidden="false" customHeight="false" outlineLevel="0" collapsed="false">
      <c r="A38" s="25"/>
      <c r="B38" s="20"/>
      <c r="C38" s="7" t="str">
        <f aca="false">IF(B38="","",IFERROR(INDEX(Productos!$A$5:$A$104,MATCH(B38,Productos!$B$5:$B$104,0)),""))</f>
        <v/>
      </c>
      <c r="D38" s="7" t="str">
        <f aca="false">IF(B38="","",IFERROR(INDEX(Productos!$D$5:$D$104,MATCH(B38,Productos!$B$5:$B$104,0)),""))</f>
        <v/>
      </c>
      <c r="E38" s="21"/>
      <c r="F38" s="11" t="str">
        <f aca="false">IF(B38="","",IFERROR(INDEX(Productos!$F$5:$F$104,MATCH(B38,Productos!$B$5:$B$104,0)),0))</f>
        <v/>
      </c>
      <c r="G38" s="11" t="str">
        <f aca="false">IF(B38="","",E38*F38)</f>
        <v/>
      </c>
    </row>
    <row r="39" customFormat="false" ht="15" hidden="false" customHeight="false" outlineLevel="0" collapsed="false">
      <c r="A39" s="25"/>
      <c r="B39" s="20"/>
      <c r="C39" s="7" t="str">
        <f aca="false">IF(B39="","",IFERROR(INDEX(Productos!$A$5:$A$104,MATCH(B39,Productos!$B$5:$B$104,0)),""))</f>
        <v/>
      </c>
      <c r="D39" s="7" t="str">
        <f aca="false">IF(B39="","",IFERROR(INDEX(Productos!$D$5:$D$104,MATCH(B39,Productos!$B$5:$B$104,0)),""))</f>
        <v/>
      </c>
      <c r="E39" s="21"/>
      <c r="F39" s="11" t="str">
        <f aca="false">IF(B39="","",IFERROR(INDEX(Productos!$F$5:$F$104,MATCH(B39,Productos!$B$5:$B$104,0)),0))</f>
        <v/>
      </c>
      <c r="G39" s="11" t="str">
        <f aca="false">IF(B39="","",E39*F39)</f>
        <v/>
      </c>
    </row>
    <row r="40" customFormat="false" ht="15" hidden="false" customHeight="false" outlineLevel="0" collapsed="false">
      <c r="A40" s="25"/>
      <c r="B40" s="20"/>
      <c r="C40" s="7" t="str">
        <f aca="false">IF(B40="","",IFERROR(INDEX(Productos!$A$5:$A$104,MATCH(B40,Productos!$B$5:$B$104,0)),""))</f>
        <v/>
      </c>
      <c r="D40" s="7" t="str">
        <f aca="false">IF(B40="","",IFERROR(INDEX(Productos!$D$5:$D$104,MATCH(B40,Productos!$B$5:$B$104,0)),""))</f>
        <v/>
      </c>
      <c r="E40" s="21"/>
      <c r="F40" s="11" t="str">
        <f aca="false">IF(B40="","",IFERROR(INDEX(Productos!$F$5:$F$104,MATCH(B40,Productos!$B$5:$B$104,0)),0))</f>
        <v/>
      </c>
      <c r="G40" s="11" t="str">
        <f aca="false">IF(B40="","",E40*F40)</f>
        <v/>
      </c>
    </row>
    <row r="41" customFormat="false" ht="15" hidden="false" customHeight="false" outlineLevel="0" collapsed="false">
      <c r="A41" s="25"/>
      <c r="B41" s="20"/>
      <c r="C41" s="7" t="str">
        <f aca="false">IF(B41="","",IFERROR(INDEX(Productos!$A$5:$A$104,MATCH(B41,Productos!$B$5:$B$104,0)),""))</f>
        <v/>
      </c>
      <c r="D41" s="7" t="str">
        <f aca="false">IF(B41="","",IFERROR(INDEX(Productos!$D$5:$D$104,MATCH(B41,Productos!$B$5:$B$104,0)),""))</f>
        <v/>
      </c>
      <c r="E41" s="21"/>
      <c r="F41" s="11" t="str">
        <f aca="false">IF(B41="","",IFERROR(INDEX(Productos!$F$5:$F$104,MATCH(B41,Productos!$B$5:$B$104,0)),0))</f>
        <v/>
      </c>
      <c r="G41" s="11" t="str">
        <f aca="false">IF(B41="","",E41*F41)</f>
        <v/>
      </c>
    </row>
    <row r="42" customFormat="false" ht="15" hidden="false" customHeight="false" outlineLevel="0" collapsed="false">
      <c r="A42" s="25"/>
      <c r="B42" s="20"/>
      <c r="C42" s="7" t="str">
        <f aca="false">IF(B42="","",IFERROR(INDEX(Productos!$A$5:$A$104,MATCH(B42,Productos!$B$5:$B$104,0)),""))</f>
        <v/>
      </c>
      <c r="D42" s="7" t="str">
        <f aca="false">IF(B42="","",IFERROR(INDEX(Productos!$D$5:$D$104,MATCH(B42,Productos!$B$5:$B$104,0)),""))</f>
        <v/>
      </c>
      <c r="E42" s="21"/>
      <c r="F42" s="11" t="str">
        <f aca="false">IF(B42="","",IFERROR(INDEX(Productos!$F$5:$F$104,MATCH(B42,Productos!$B$5:$B$104,0)),0))</f>
        <v/>
      </c>
      <c r="G42" s="11" t="str">
        <f aca="false">IF(B42="","",E42*F42)</f>
        <v/>
      </c>
    </row>
    <row r="43" customFormat="false" ht="15" hidden="false" customHeight="false" outlineLevel="0" collapsed="false">
      <c r="A43" s="25"/>
      <c r="B43" s="20"/>
      <c r="C43" s="7" t="str">
        <f aca="false">IF(B43="","",IFERROR(INDEX(Productos!$A$5:$A$104,MATCH(B43,Productos!$B$5:$B$104,0)),""))</f>
        <v/>
      </c>
      <c r="D43" s="7" t="str">
        <f aca="false">IF(B43="","",IFERROR(INDEX(Productos!$D$5:$D$104,MATCH(B43,Productos!$B$5:$B$104,0)),""))</f>
        <v/>
      </c>
      <c r="E43" s="21"/>
      <c r="F43" s="11" t="str">
        <f aca="false">IF(B43="","",IFERROR(INDEX(Productos!$F$5:$F$104,MATCH(B43,Productos!$B$5:$B$104,0)),0))</f>
        <v/>
      </c>
      <c r="G43" s="11" t="str">
        <f aca="false">IF(B43="","",E43*F43)</f>
        <v/>
      </c>
    </row>
    <row r="44" customFormat="false" ht="15" hidden="false" customHeight="false" outlineLevel="0" collapsed="false">
      <c r="A44" s="25"/>
      <c r="B44" s="20"/>
      <c r="C44" s="7" t="str">
        <f aca="false">IF(B44="","",IFERROR(INDEX(Productos!$A$5:$A$104,MATCH(B44,Productos!$B$5:$B$104,0)),""))</f>
        <v/>
      </c>
      <c r="D44" s="7" t="str">
        <f aca="false">IF(B44="","",IFERROR(INDEX(Productos!$D$5:$D$104,MATCH(B44,Productos!$B$5:$B$104,0)),""))</f>
        <v/>
      </c>
      <c r="E44" s="21"/>
      <c r="F44" s="11" t="str">
        <f aca="false">IF(B44="","",IFERROR(INDEX(Productos!$F$5:$F$104,MATCH(B44,Productos!$B$5:$B$104,0)),0))</f>
        <v/>
      </c>
      <c r="G44" s="11" t="str">
        <f aca="false">IF(B44="","",E44*F44)</f>
        <v/>
      </c>
    </row>
    <row r="45" customFormat="false" ht="15" hidden="false" customHeight="false" outlineLevel="0" collapsed="false">
      <c r="A45" s="25"/>
      <c r="B45" s="20"/>
      <c r="C45" s="7" t="str">
        <f aca="false">IF(B45="","",IFERROR(INDEX(Productos!$A$5:$A$104,MATCH(B45,Productos!$B$5:$B$104,0)),""))</f>
        <v/>
      </c>
      <c r="D45" s="7" t="str">
        <f aca="false">IF(B45="","",IFERROR(INDEX(Productos!$D$5:$D$104,MATCH(B45,Productos!$B$5:$B$104,0)),""))</f>
        <v/>
      </c>
      <c r="E45" s="21"/>
      <c r="F45" s="11" t="str">
        <f aca="false">IF(B45="","",IFERROR(INDEX(Productos!$F$5:$F$104,MATCH(B45,Productos!$B$5:$B$104,0)),0))</f>
        <v/>
      </c>
      <c r="G45" s="11" t="str">
        <f aca="false">IF(B45="","",E45*F45)</f>
        <v/>
      </c>
    </row>
    <row r="46" customFormat="false" ht="15" hidden="false" customHeight="false" outlineLevel="0" collapsed="false">
      <c r="A46" s="25"/>
      <c r="B46" s="20"/>
      <c r="C46" s="7" t="str">
        <f aca="false">IF(B46="","",IFERROR(INDEX(Productos!$A$5:$A$104,MATCH(B46,Productos!$B$5:$B$104,0)),""))</f>
        <v/>
      </c>
      <c r="D46" s="7" t="str">
        <f aca="false">IF(B46="","",IFERROR(INDEX(Productos!$D$5:$D$104,MATCH(B46,Productos!$B$5:$B$104,0)),""))</f>
        <v/>
      </c>
      <c r="E46" s="21"/>
      <c r="F46" s="11" t="str">
        <f aca="false">IF(B46="","",IFERROR(INDEX(Productos!$F$5:$F$104,MATCH(B46,Productos!$B$5:$B$104,0)),0))</f>
        <v/>
      </c>
      <c r="G46" s="11" t="str">
        <f aca="false">IF(B46="","",E46*F46)</f>
        <v/>
      </c>
    </row>
    <row r="47" customFormat="false" ht="15" hidden="false" customHeight="false" outlineLevel="0" collapsed="false">
      <c r="A47" s="25"/>
      <c r="B47" s="20"/>
      <c r="C47" s="7" t="str">
        <f aca="false">IF(B47="","",IFERROR(INDEX(Productos!$A$5:$A$104,MATCH(B47,Productos!$B$5:$B$104,0)),""))</f>
        <v/>
      </c>
      <c r="D47" s="7" t="str">
        <f aca="false">IF(B47="","",IFERROR(INDEX(Productos!$D$5:$D$104,MATCH(B47,Productos!$B$5:$B$104,0)),""))</f>
        <v/>
      </c>
      <c r="E47" s="21"/>
      <c r="F47" s="11" t="str">
        <f aca="false">IF(B47="","",IFERROR(INDEX(Productos!$F$5:$F$104,MATCH(B47,Productos!$B$5:$B$104,0)),0))</f>
        <v/>
      </c>
      <c r="G47" s="11" t="str">
        <f aca="false">IF(B47="","",E47*F47)</f>
        <v/>
      </c>
    </row>
    <row r="48" customFormat="false" ht="15" hidden="false" customHeight="false" outlineLevel="0" collapsed="false">
      <c r="A48" s="25"/>
      <c r="B48" s="20"/>
      <c r="C48" s="7" t="str">
        <f aca="false">IF(B48="","",IFERROR(INDEX(Productos!$A$5:$A$104,MATCH(B48,Productos!$B$5:$B$104,0)),""))</f>
        <v/>
      </c>
      <c r="D48" s="7" t="str">
        <f aca="false">IF(B48="","",IFERROR(INDEX(Productos!$D$5:$D$104,MATCH(B48,Productos!$B$5:$B$104,0)),""))</f>
        <v/>
      </c>
      <c r="E48" s="21"/>
      <c r="F48" s="11" t="str">
        <f aca="false">IF(B48="","",IFERROR(INDEX(Productos!$F$5:$F$104,MATCH(B48,Productos!$B$5:$B$104,0)),0))</f>
        <v/>
      </c>
      <c r="G48" s="11" t="str">
        <f aca="false">IF(B48="","",E48*F48)</f>
        <v/>
      </c>
    </row>
    <row r="49" customFormat="false" ht="15" hidden="false" customHeight="false" outlineLevel="0" collapsed="false">
      <c r="A49" s="25"/>
      <c r="B49" s="20"/>
      <c r="C49" s="7" t="str">
        <f aca="false">IF(B49="","",IFERROR(INDEX(Productos!$A$5:$A$104,MATCH(B49,Productos!$B$5:$B$104,0)),""))</f>
        <v/>
      </c>
      <c r="D49" s="7" t="str">
        <f aca="false">IF(B49="","",IFERROR(INDEX(Productos!$D$5:$D$104,MATCH(B49,Productos!$B$5:$B$104,0)),""))</f>
        <v/>
      </c>
      <c r="E49" s="21"/>
      <c r="F49" s="11" t="str">
        <f aca="false">IF(B49="","",IFERROR(INDEX(Productos!$F$5:$F$104,MATCH(B49,Productos!$B$5:$B$104,0)),0))</f>
        <v/>
      </c>
      <c r="G49" s="11" t="str">
        <f aca="false">IF(B49="","",E49*F49)</f>
        <v/>
      </c>
    </row>
    <row r="50" customFormat="false" ht="15" hidden="false" customHeight="false" outlineLevel="0" collapsed="false">
      <c r="A50" s="25"/>
      <c r="B50" s="20"/>
      <c r="C50" s="7" t="str">
        <f aca="false">IF(B50="","",IFERROR(INDEX(Productos!$A$5:$A$104,MATCH(B50,Productos!$B$5:$B$104,0)),""))</f>
        <v/>
      </c>
      <c r="D50" s="7" t="str">
        <f aca="false">IF(B50="","",IFERROR(INDEX(Productos!$D$5:$D$104,MATCH(B50,Productos!$B$5:$B$104,0)),""))</f>
        <v/>
      </c>
      <c r="E50" s="21"/>
      <c r="F50" s="11" t="str">
        <f aca="false">IF(B50="","",IFERROR(INDEX(Productos!$F$5:$F$104,MATCH(B50,Productos!$B$5:$B$104,0)),0))</f>
        <v/>
      </c>
      <c r="G50" s="11" t="str">
        <f aca="false">IF(B50="","",E50*F50)</f>
        <v/>
      </c>
    </row>
    <row r="51" customFormat="false" ht="15" hidden="false" customHeight="false" outlineLevel="0" collapsed="false">
      <c r="A51" s="25"/>
      <c r="B51" s="20"/>
      <c r="C51" s="7" t="str">
        <f aca="false">IF(B51="","",IFERROR(INDEX(Productos!$A$5:$A$104,MATCH(B51,Productos!$B$5:$B$104,0)),""))</f>
        <v/>
      </c>
      <c r="D51" s="7" t="str">
        <f aca="false">IF(B51="","",IFERROR(INDEX(Productos!$D$5:$D$104,MATCH(B51,Productos!$B$5:$B$104,0)),""))</f>
        <v/>
      </c>
      <c r="E51" s="21"/>
      <c r="F51" s="11" t="str">
        <f aca="false">IF(B51="","",IFERROR(INDEX(Productos!$F$5:$F$104,MATCH(B51,Productos!$B$5:$B$104,0)),0))</f>
        <v/>
      </c>
      <c r="G51" s="11" t="str">
        <f aca="false">IF(B51="","",E51*F51)</f>
        <v/>
      </c>
    </row>
    <row r="52" customFormat="false" ht="15" hidden="false" customHeight="false" outlineLevel="0" collapsed="false">
      <c r="A52" s="25"/>
      <c r="B52" s="20"/>
      <c r="C52" s="7" t="str">
        <f aca="false">IF(B52="","",IFERROR(INDEX(Productos!$A$5:$A$104,MATCH(B52,Productos!$B$5:$B$104,0)),""))</f>
        <v/>
      </c>
      <c r="D52" s="7" t="str">
        <f aca="false">IF(B52="","",IFERROR(INDEX(Productos!$D$5:$D$104,MATCH(B52,Productos!$B$5:$B$104,0)),""))</f>
        <v/>
      </c>
      <c r="E52" s="21"/>
      <c r="F52" s="11" t="str">
        <f aca="false">IF(B52="","",IFERROR(INDEX(Productos!$F$5:$F$104,MATCH(B52,Productos!$B$5:$B$104,0)),0))</f>
        <v/>
      </c>
      <c r="G52" s="11" t="str">
        <f aca="false">IF(B52="","",E52*F52)</f>
        <v/>
      </c>
    </row>
    <row r="53" customFormat="false" ht="15" hidden="false" customHeight="false" outlineLevel="0" collapsed="false">
      <c r="A53" s="25"/>
      <c r="B53" s="20"/>
      <c r="C53" s="7" t="str">
        <f aca="false">IF(B53="","",IFERROR(INDEX(Productos!$A$5:$A$104,MATCH(B53,Productos!$B$5:$B$104,0)),""))</f>
        <v/>
      </c>
      <c r="D53" s="7" t="str">
        <f aca="false">IF(B53="","",IFERROR(INDEX(Productos!$D$5:$D$104,MATCH(B53,Productos!$B$5:$B$104,0)),""))</f>
        <v/>
      </c>
      <c r="E53" s="21"/>
      <c r="F53" s="11" t="str">
        <f aca="false">IF(B53="","",IFERROR(INDEX(Productos!$F$5:$F$104,MATCH(B53,Productos!$B$5:$B$104,0)),0))</f>
        <v/>
      </c>
      <c r="G53" s="11" t="str">
        <f aca="false">IF(B53="","",E53*F53)</f>
        <v/>
      </c>
    </row>
    <row r="54" customFormat="false" ht="15" hidden="false" customHeight="false" outlineLevel="0" collapsed="false">
      <c r="A54" s="25"/>
      <c r="B54" s="20"/>
      <c r="C54" s="7" t="str">
        <f aca="false">IF(B54="","",IFERROR(INDEX(Productos!$A$5:$A$104,MATCH(B54,Productos!$B$5:$B$104,0)),""))</f>
        <v/>
      </c>
      <c r="D54" s="7" t="str">
        <f aca="false">IF(B54="","",IFERROR(INDEX(Productos!$D$5:$D$104,MATCH(B54,Productos!$B$5:$B$104,0)),""))</f>
        <v/>
      </c>
      <c r="E54" s="21"/>
      <c r="F54" s="11" t="str">
        <f aca="false">IF(B54="","",IFERROR(INDEX(Productos!$F$5:$F$104,MATCH(B54,Productos!$B$5:$B$104,0)),0))</f>
        <v/>
      </c>
      <c r="G54" s="11" t="str">
        <f aca="false">IF(B54="","",E54*F54)</f>
        <v/>
      </c>
    </row>
    <row r="55" customFormat="false" ht="15" hidden="false" customHeight="false" outlineLevel="0" collapsed="false">
      <c r="A55" s="25"/>
      <c r="B55" s="20"/>
      <c r="C55" s="7" t="str">
        <f aca="false">IF(B55="","",IFERROR(INDEX(Productos!$A$5:$A$104,MATCH(B55,Productos!$B$5:$B$104,0)),""))</f>
        <v/>
      </c>
      <c r="D55" s="7" t="str">
        <f aca="false">IF(B55="","",IFERROR(INDEX(Productos!$D$5:$D$104,MATCH(B55,Productos!$B$5:$B$104,0)),""))</f>
        <v/>
      </c>
      <c r="E55" s="21"/>
      <c r="F55" s="11" t="str">
        <f aca="false">IF(B55="","",IFERROR(INDEX(Productos!$F$5:$F$104,MATCH(B55,Productos!$B$5:$B$104,0)),0))</f>
        <v/>
      </c>
      <c r="G55" s="11" t="str">
        <f aca="false">IF(B55="","",E55*F55)</f>
        <v/>
      </c>
    </row>
    <row r="56" customFormat="false" ht="15" hidden="false" customHeight="false" outlineLevel="0" collapsed="false">
      <c r="A56" s="25"/>
      <c r="B56" s="20"/>
      <c r="C56" s="7" t="str">
        <f aca="false">IF(B56="","",IFERROR(INDEX(Productos!$A$5:$A$104,MATCH(B56,Productos!$B$5:$B$104,0)),""))</f>
        <v/>
      </c>
      <c r="D56" s="7" t="str">
        <f aca="false">IF(B56="","",IFERROR(INDEX(Productos!$D$5:$D$104,MATCH(B56,Productos!$B$5:$B$104,0)),""))</f>
        <v/>
      </c>
      <c r="E56" s="21"/>
      <c r="F56" s="11" t="str">
        <f aca="false">IF(B56="","",IFERROR(INDEX(Productos!$F$5:$F$104,MATCH(B56,Productos!$B$5:$B$104,0)),0))</f>
        <v/>
      </c>
      <c r="G56" s="11" t="str">
        <f aca="false">IF(B56="","",E56*F56)</f>
        <v/>
      </c>
    </row>
    <row r="57" customFormat="false" ht="15" hidden="false" customHeight="false" outlineLevel="0" collapsed="false">
      <c r="A57" s="25"/>
      <c r="B57" s="20"/>
      <c r="C57" s="7" t="str">
        <f aca="false">IF(B57="","",IFERROR(INDEX(Productos!$A$5:$A$104,MATCH(B57,Productos!$B$5:$B$104,0)),""))</f>
        <v/>
      </c>
      <c r="D57" s="7" t="str">
        <f aca="false">IF(B57="","",IFERROR(INDEX(Productos!$D$5:$D$104,MATCH(B57,Productos!$B$5:$B$104,0)),""))</f>
        <v/>
      </c>
      <c r="E57" s="21"/>
      <c r="F57" s="11" t="str">
        <f aca="false">IF(B57="","",IFERROR(INDEX(Productos!$F$5:$F$104,MATCH(B57,Productos!$B$5:$B$104,0)),0))</f>
        <v/>
      </c>
      <c r="G57" s="11" t="str">
        <f aca="false">IF(B57="","",E57*F57)</f>
        <v/>
      </c>
    </row>
    <row r="58" customFormat="false" ht="15" hidden="false" customHeight="false" outlineLevel="0" collapsed="false">
      <c r="A58" s="25"/>
      <c r="B58" s="20"/>
      <c r="C58" s="7" t="str">
        <f aca="false">IF(B58="","",IFERROR(INDEX(Productos!$A$5:$A$104,MATCH(B58,Productos!$B$5:$B$104,0)),""))</f>
        <v/>
      </c>
      <c r="D58" s="7" t="str">
        <f aca="false">IF(B58="","",IFERROR(INDEX(Productos!$D$5:$D$104,MATCH(B58,Productos!$B$5:$B$104,0)),""))</f>
        <v/>
      </c>
      <c r="E58" s="21"/>
      <c r="F58" s="11" t="str">
        <f aca="false">IF(B58="","",IFERROR(INDEX(Productos!$F$5:$F$104,MATCH(B58,Productos!$B$5:$B$104,0)),0))</f>
        <v/>
      </c>
      <c r="G58" s="11" t="str">
        <f aca="false">IF(B58="","",E58*F58)</f>
        <v/>
      </c>
    </row>
    <row r="59" customFormat="false" ht="15" hidden="false" customHeight="false" outlineLevel="0" collapsed="false">
      <c r="A59" s="25"/>
      <c r="B59" s="20"/>
      <c r="C59" s="7" t="str">
        <f aca="false">IF(B59="","",IFERROR(INDEX(Productos!$A$5:$A$104,MATCH(B59,Productos!$B$5:$B$104,0)),""))</f>
        <v/>
      </c>
      <c r="D59" s="7" t="str">
        <f aca="false">IF(B59="","",IFERROR(INDEX(Productos!$D$5:$D$104,MATCH(B59,Productos!$B$5:$B$104,0)),""))</f>
        <v/>
      </c>
      <c r="E59" s="21"/>
      <c r="F59" s="11" t="str">
        <f aca="false">IF(B59="","",IFERROR(INDEX(Productos!$F$5:$F$104,MATCH(B59,Productos!$B$5:$B$104,0)),0))</f>
        <v/>
      </c>
      <c r="G59" s="11" t="str">
        <f aca="false">IF(B59="","",E59*F59)</f>
        <v/>
      </c>
    </row>
    <row r="60" customFormat="false" ht="15" hidden="false" customHeight="false" outlineLevel="0" collapsed="false">
      <c r="A60" s="25"/>
      <c r="B60" s="20"/>
      <c r="C60" s="7" t="str">
        <f aca="false">IF(B60="","",IFERROR(INDEX(Productos!$A$5:$A$104,MATCH(B60,Productos!$B$5:$B$104,0)),""))</f>
        <v/>
      </c>
      <c r="D60" s="7" t="str">
        <f aca="false">IF(B60="","",IFERROR(INDEX(Productos!$D$5:$D$104,MATCH(B60,Productos!$B$5:$B$104,0)),""))</f>
        <v/>
      </c>
      <c r="E60" s="21"/>
      <c r="F60" s="11" t="str">
        <f aca="false">IF(B60="","",IFERROR(INDEX(Productos!$F$5:$F$104,MATCH(B60,Productos!$B$5:$B$104,0)),0))</f>
        <v/>
      </c>
      <c r="G60" s="11" t="str">
        <f aca="false">IF(B60="","",E60*F60)</f>
        <v/>
      </c>
    </row>
    <row r="61" customFormat="false" ht="15" hidden="false" customHeight="false" outlineLevel="0" collapsed="false">
      <c r="A61" s="25"/>
      <c r="B61" s="20"/>
      <c r="C61" s="7" t="str">
        <f aca="false">IF(B61="","",IFERROR(INDEX(Productos!$A$5:$A$104,MATCH(B61,Productos!$B$5:$B$104,0)),""))</f>
        <v/>
      </c>
      <c r="D61" s="7" t="str">
        <f aca="false">IF(B61="","",IFERROR(INDEX(Productos!$D$5:$D$104,MATCH(B61,Productos!$B$5:$B$104,0)),""))</f>
        <v/>
      </c>
      <c r="E61" s="21"/>
      <c r="F61" s="11" t="str">
        <f aca="false">IF(B61="","",IFERROR(INDEX(Productos!$F$5:$F$104,MATCH(B61,Productos!$B$5:$B$104,0)),0))</f>
        <v/>
      </c>
      <c r="G61" s="11" t="str">
        <f aca="false">IF(B61="","",E61*F61)</f>
        <v/>
      </c>
    </row>
    <row r="62" customFormat="false" ht="15" hidden="false" customHeight="false" outlineLevel="0" collapsed="false">
      <c r="A62" s="25"/>
      <c r="B62" s="20"/>
      <c r="C62" s="7" t="str">
        <f aca="false">IF(B62="","",IFERROR(INDEX(Productos!$A$5:$A$104,MATCH(B62,Productos!$B$5:$B$104,0)),""))</f>
        <v/>
      </c>
      <c r="D62" s="7" t="str">
        <f aca="false">IF(B62="","",IFERROR(INDEX(Productos!$D$5:$D$104,MATCH(B62,Productos!$B$5:$B$104,0)),""))</f>
        <v/>
      </c>
      <c r="E62" s="21"/>
      <c r="F62" s="11" t="str">
        <f aca="false">IF(B62="","",IFERROR(INDEX(Productos!$F$5:$F$104,MATCH(B62,Productos!$B$5:$B$104,0)),0))</f>
        <v/>
      </c>
      <c r="G62" s="11" t="str">
        <f aca="false">IF(B62="","",E62*F62)</f>
        <v/>
      </c>
    </row>
    <row r="63" customFormat="false" ht="15" hidden="false" customHeight="false" outlineLevel="0" collapsed="false">
      <c r="A63" s="25"/>
      <c r="B63" s="20"/>
      <c r="C63" s="7" t="str">
        <f aca="false">IF(B63="","",IFERROR(INDEX(Productos!$A$5:$A$104,MATCH(B63,Productos!$B$5:$B$104,0)),""))</f>
        <v/>
      </c>
      <c r="D63" s="7" t="str">
        <f aca="false">IF(B63="","",IFERROR(INDEX(Productos!$D$5:$D$104,MATCH(B63,Productos!$B$5:$B$104,0)),""))</f>
        <v/>
      </c>
      <c r="E63" s="21"/>
      <c r="F63" s="11" t="str">
        <f aca="false">IF(B63="","",IFERROR(INDEX(Productos!$F$5:$F$104,MATCH(B63,Productos!$B$5:$B$104,0)),0))</f>
        <v/>
      </c>
      <c r="G63" s="11" t="str">
        <f aca="false">IF(B63="","",E63*F63)</f>
        <v/>
      </c>
    </row>
    <row r="64" customFormat="false" ht="15" hidden="false" customHeight="false" outlineLevel="0" collapsed="false">
      <c r="A64" s="25"/>
      <c r="B64" s="20"/>
      <c r="C64" s="7" t="str">
        <f aca="false">IF(B64="","",IFERROR(INDEX(Productos!$A$5:$A$104,MATCH(B64,Productos!$B$5:$B$104,0)),""))</f>
        <v/>
      </c>
      <c r="D64" s="7" t="str">
        <f aca="false">IF(B64="","",IFERROR(INDEX(Productos!$D$5:$D$104,MATCH(B64,Productos!$B$5:$B$104,0)),""))</f>
        <v/>
      </c>
      <c r="E64" s="21"/>
      <c r="F64" s="11" t="str">
        <f aca="false">IF(B64="","",IFERROR(INDEX(Productos!$F$5:$F$104,MATCH(B64,Productos!$B$5:$B$104,0)),0))</f>
        <v/>
      </c>
      <c r="G64" s="11" t="str">
        <f aca="false">IF(B64="","",E64*F64)</f>
        <v/>
      </c>
    </row>
    <row r="65" customFormat="false" ht="15" hidden="false" customHeight="false" outlineLevel="0" collapsed="false">
      <c r="A65" s="25"/>
      <c r="B65" s="20"/>
      <c r="C65" s="7" t="str">
        <f aca="false">IF(B65="","",IFERROR(INDEX(Productos!$A$5:$A$104,MATCH(B65,Productos!$B$5:$B$104,0)),""))</f>
        <v/>
      </c>
      <c r="D65" s="7" t="str">
        <f aca="false">IF(B65="","",IFERROR(INDEX(Productos!$D$5:$D$104,MATCH(B65,Productos!$B$5:$B$104,0)),""))</f>
        <v/>
      </c>
      <c r="E65" s="21"/>
      <c r="F65" s="11" t="str">
        <f aca="false">IF(B65="","",IFERROR(INDEX(Productos!$F$5:$F$104,MATCH(B65,Productos!$B$5:$B$104,0)),0))</f>
        <v/>
      </c>
      <c r="G65" s="11" t="str">
        <f aca="false">IF(B65="","",E65*F65)</f>
        <v/>
      </c>
    </row>
    <row r="66" customFormat="false" ht="15" hidden="false" customHeight="false" outlineLevel="0" collapsed="false">
      <c r="A66" s="25"/>
      <c r="B66" s="20"/>
      <c r="C66" s="7" t="str">
        <f aca="false">IF(B66="","",IFERROR(INDEX(Productos!$A$5:$A$104,MATCH(B66,Productos!$B$5:$B$104,0)),""))</f>
        <v/>
      </c>
      <c r="D66" s="7" t="str">
        <f aca="false">IF(B66="","",IFERROR(INDEX(Productos!$D$5:$D$104,MATCH(B66,Productos!$B$5:$B$104,0)),""))</f>
        <v/>
      </c>
      <c r="E66" s="21"/>
      <c r="F66" s="11" t="str">
        <f aca="false">IF(B66="","",IFERROR(INDEX(Productos!$F$5:$F$104,MATCH(B66,Productos!$B$5:$B$104,0)),0))</f>
        <v/>
      </c>
      <c r="G66" s="11" t="str">
        <f aca="false">IF(B66="","",E66*F66)</f>
        <v/>
      </c>
    </row>
    <row r="67" customFormat="false" ht="15" hidden="false" customHeight="false" outlineLevel="0" collapsed="false">
      <c r="A67" s="25"/>
      <c r="B67" s="20"/>
      <c r="C67" s="7" t="str">
        <f aca="false">IF(B67="","",IFERROR(INDEX(Productos!$A$5:$A$104,MATCH(B67,Productos!$B$5:$B$104,0)),""))</f>
        <v/>
      </c>
      <c r="D67" s="7" t="str">
        <f aca="false">IF(B67="","",IFERROR(INDEX(Productos!$D$5:$D$104,MATCH(B67,Productos!$B$5:$B$104,0)),""))</f>
        <v/>
      </c>
      <c r="E67" s="21"/>
      <c r="F67" s="11" t="str">
        <f aca="false">IF(B67="","",IFERROR(INDEX(Productos!$F$5:$F$104,MATCH(B67,Productos!$B$5:$B$104,0)),0))</f>
        <v/>
      </c>
      <c r="G67" s="11" t="str">
        <f aca="false">IF(B67="","",E67*F67)</f>
        <v/>
      </c>
    </row>
    <row r="68" customFormat="false" ht="15" hidden="false" customHeight="false" outlineLevel="0" collapsed="false">
      <c r="A68" s="25"/>
      <c r="B68" s="20"/>
      <c r="C68" s="7" t="str">
        <f aca="false">IF(B68="","",IFERROR(INDEX(Productos!$A$5:$A$104,MATCH(B68,Productos!$B$5:$B$104,0)),""))</f>
        <v/>
      </c>
      <c r="D68" s="7" t="str">
        <f aca="false">IF(B68="","",IFERROR(INDEX(Productos!$D$5:$D$104,MATCH(B68,Productos!$B$5:$B$104,0)),""))</f>
        <v/>
      </c>
      <c r="E68" s="21"/>
      <c r="F68" s="11" t="str">
        <f aca="false">IF(B68="","",IFERROR(INDEX(Productos!$F$5:$F$104,MATCH(B68,Productos!$B$5:$B$104,0)),0))</f>
        <v/>
      </c>
      <c r="G68" s="11" t="str">
        <f aca="false">IF(B68="","",E68*F68)</f>
        <v/>
      </c>
    </row>
    <row r="69" customFormat="false" ht="15" hidden="false" customHeight="false" outlineLevel="0" collapsed="false">
      <c r="A69" s="25"/>
      <c r="B69" s="20"/>
      <c r="C69" s="7" t="str">
        <f aca="false">IF(B69="","",IFERROR(INDEX(Productos!$A$5:$A$104,MATCH(B69,Productos!$B$5:$B$104,0)),""))</f>
        <v/>
      </c>
      <c r="D69" s="7" t="str">
        <f aca="false">IF(B69="","",IFERROR(INDEX(Productos!$D$5:$D$104,MATCH(B69,Productos!$B$5:$B$104,0)),""))</f>
        <v/>
      </c>
      <c r="E69" s="21"/>
      <c r="F69" s="11" t="str">
        <f aca="false">IF(B69="","",IFERROR(INDEX(Productos!$F$5:$F$104,MATCH(B69,Productos!$B$5:$B$104,0)),0))</f>
        <v/>
      </c>
      <c r="G69" s="11" t="str">
        <f aca="false">IF(B69="","",E69*F69)</f>
        <v/>
      </c>
    </row>
    <row r="70" customFormat="false" ht="15" hidden="false" customHeight="false" outlineLevel="0" collapsed="false">
      <c r="A70" s="25"/>
      <c r="B70" s="20"/>
      <c r="C70" s="7" t="str">
        <f aca="false">IF(B70="","",IFERROR(INDEX(Productos!$A$5:$A$104,MATCH(B70,Productos!$B$5:$B$104,0)),""))</f>
        <v/>
      </c>
      <c r="D70" s="7" t="str">
        <f aca="false">IF(B70="","",IFERROR(INDEX(Productos!$D$5:$D$104,MATCH(B70,Productos!$B$5:$B$104,0)),""))</f>
        <v/>
      </c>
      <c r="E70" s="21"/>
      <c r="F70" s="11" t="str">
        <f aca="false">IF(B70="","",IFERROR(INDEX(Productos!$F$5:$F$104,MATCH(B70,Productos!$B$5:$B$104,0)),0))</f>
        <v/>
      </c>
      <c r="G70" s="11" t="str">
        <f aca="false">IF(B70="","",E70*F70)</f>
        <v/>
      </c>
    </row>
    <row r="71" customFormat="false" ht="15" hidden="false" customHeight="false" outlineLevel="0" collapsed="false">
      <c r="A71" s="25"/>
      <c r="B71" s="20"/>
      <c r="C71" s="7" t="str">
        <f aca="false">IF(B71="","",IFERROR(INDEX(Productos!$A$5:$A$104,MATCH(B71,Productos!$B$5:$B$104,0)),""))</f>
        <v/>
      </c>
      <c r="D71" s="7" t="str">
        <f aca="false">IF(B71="","",IFERROR(INDEX(Productos!$D$5:$D$104,MATCH(B71,Productos!$B$5:$B$104,0)),""))</f>
        <v/>
      </c>
      <c r="E71" s="21"/>
      <c r="F71" s="11" t="str">
        <f aca="false">IF(B71="","",IFERROR(INDEX(Productos!$F$5:$F$104,MATCH(B71,Productos!$B$5:$B$104,0)),0))</f>
        <v/>
      </c>
      <c r="G71" s="11" t="str">
        <f aca="false">IF(B71="","",E71*F71)</f>
        <v/>
      </c>
    </row>
    <row r="72" customFormat="false" ht="15" hidden="false" customHeight="false" outlineLevel="0" collapsed="false">
      <c r="A72" s="25"/>
      <c r="B72" s="20"/>
      <c r="C72" s="7" t="str">
        <f aca="false">IF(B72="","",IFERROR(INDEX(Productos!$A$5:$A$104,MATCH(B72,Productos!$B$5:$B$104,0)),""))</f>
        <v/>
      </c>
      <c r="D72" s="7" t="str">
        <f aca="false">IF(B72="","",IFERROR(INDEX(Productos!$D$5:$D$104,MATCH(B72,Productos!$B$5:$B$104,0)),""))</f>
        <v/>
      </c>
      <c r="E72" s="21"/>
      <c r="F72" s="11" t="str">
        <f aca="false">IF(B72="","",IFERROR(INDEX(Productos!$F$5:$F$104,MATCH(B72,Productos!$B$5:$B$104,0)),0))</f>
        <v/>
      </c>
      <c r="G72" s="11" t="str">
        <f aca="false">IF(B72="","",E72*F72)</f>
        <v/>
      </c>
    </row>
    <row r="73" customFormat="false" ht="15" hidden="false" customHeight="false" outlineLevel="0" collapsed="false">
      <c r="A73" s="25"/>
      <c r="B73" s="20"/>
      <c r="C73" s="7" t="str">
        <f aca="false">IF(B73="","",IFERROR(INDEX(Productos!$A$5:$A$104,MATCH(B73,Productos!$B$5:$B$104,0)),""))</f>
        <v/>
      </c>
      <c r="D73" s="7" t="str">
        <f aca="false">IF(B73="","",IFERROR(INDEX(Productos!$D$5:$D$104,MATCH(B73,Productos!$B$5:$B$104,0)),""))</f>
        <v/>
      </c>
      <c r="E73" s="21"/>
      <c r="F73" s="11" t="str">
        <f aca="false">IF(B73="","",IFERROR(INDEX(Productos!$F$5:$F$104,MATCH(B73,Productos!$B$5:$B$104,0)),0))</f>
        <v/>
      </c>
      <c r="G73" s="11" t="str">
        <f aca="false">IF(B73="","",E73*F73)</f>
        <v/>
      </c>
    </row>
    <row r="74" customFormat="false" ht="15" hidden="false" customHeight="false" outlineLevel="0" collapsed="false">
      <c r="A74" s="25"/>
      <c r="B74" s="20"/>
      <c r="C74" s="7" t="str">
        <f aca="false">IF(B74="","",IFERROR(INDEX(Productos!$A$5:$A$104,MATCH(B74,Productos!$B$5:$B$104,0)),""))</f>
        <v/>
      </c>
      <c r="D74" s="7" t="str">
        <f aca="false">IF(B74="","",IFERROR(INDEX(Productos!$D$5:$D$104,MATCH(B74,Productos!$B$5:$B$104,0)),""))</f>
        <v/>
      </c>
      <c r="E74" s="21"/>
      <c r="F74" s="11" t="str">
        <f aca="false">IF(B74="","",IFERROR(INDEX(Productos!$F$5:$F$104,MATCH(B74,Productos!$B$5:$B$104,0)),0))</f>
        <v/>
      </c>
      <c r="G74" s="11" t="str">
        <f aca="false">IF(B74="","",E74*F74)</f>
        <v/>
      </c>
    </row>
    <row r="75" customFormat="false" ht="15" hidden="false" customHeight="false" outlineLevel="0" collapsed="false">
      <c r="A75" s="25"/>
      <c r="B75" s="20"/>
      <c r="C75" s="7" t="str">
        <f aca="false">IF(B75="","",IFERROR(INDEX(Productos!$A$5:$A$104,MATCH(B75,Productos!$B$5:$B$104,0)),""))</f>
        <v/>
      </c>
      <c r="D75" s="7" t="str">
        <f aca="false">IF(B75="","",IFERROR(INDEX(Productos!$D$5:$D$104,MATCH(B75,Productos!$B$5:$B$104,0)),""))</f>
        <v/>
      </c>
      <c r="E75" s="21"/>
      <c r="F75" s="11" t="str">
        <f aca="false">IF(B75="","",IFERROR(INDEX(Productos!$F$5:$F$104,MATCH(B75,Productos!$B$5:$B$104,0)),0))</f>
        <v/>
      </c>
      <c r="G75" s="11" t="str">
        <f aca="false">IF(B75="","",E75*F75)</f>
        <v/>
      </c>
    </row>
    <row r="76" customFormat="false" ht="15" hidden="false" customHeight="false" outlineLevel="0" collapsed="false">
      <c r="A76" s="25"/>
      <c r="B76" s="20"/>
      <c r="C76" s="7" t="str">
        <f aca="false">IF(B76="","",IFERROR(INDEX(Productos!$A$5:$A$104,MATCH(B76,Productos!$B$5:$B$104,0)),""))</f>
        <v/>
      </c>
      <c r="D76" s="7" t="str">
        <f aca="false">IF(B76="","",IFERROR(INDEX(Productos!$D$5:$D$104,MATCH(B76,Productos!$B$5:$B$104,0)),""))</f>
        <v/>
      </c>
      <c r="E76" s="21"/>
      <c r="F76" s="11" t="str">
        <f aca="false">IF(B76="","",IFERROR(INDEX(Productos!$F$5:$F$104,MATCH(B76,Productos!$B$5:$B$104,0)),0))</f>
        <v/>
      </c>
      <c r="G76" s="11" t="str">
        <f aca="false">IF(B76="","",E76*F76)</f>
        <v/>
      </c>
    </row>
    <row r="77" customFormat="false" ht="15" hidden="false" customHeight="false" outlineLevel="0" collapsed="false">
      <c r="A77" s="25"/>
      <c r="B77" s="20"/>
      <c r="C77" s="7" t="str">
        <f aca="false">IF(B77="","",IFERROR(INDEX(Productos!$A$5:$A$104,MATCH(B77,Productos!$B$5:$B$104,0)),""))</f>
        <v/>
      </c>
      <c r="D77" s="7" t="str">
        <f aca="false">IF(B77="","",IFERROR(INDEX(Productos!$D$5:$D$104,MATCH(B77,Productos!$B$5:$B$104,0)),""))</f>
        <v/>
      </c>
      <c r="E77" s="21"/>
      <c r="F77" s="11" t="str">
        <f aca="false">IF(B77="","",IFERROR(INDEX(Productos!$F$5:$F$104,MATCH(B77,Productos!$B$5:$B$104,0)),0))</f>
        <v/>
      </c>
      <c r="G77" s="11" t="str">
        <f aca="false">IF(B77="","",E77*F77)</f>
        <v/>
      </c>
    </row>
    <row r="78" customFormat="false" ht="15" hidden="false" customHeight="false" outlineLevel="0" collapsed="false">
      <c r="A78" s="25"/>
      <c r="B78" s="20"/>
      <c r="C78" s="7" t="str">
        <f aca="false">IF(B78="","",IFERROR(INDEX(Productos!$A$5:$A$104,MATCH(B78,Productos!$B$5:$B$104,0)),""))</f>
        <v/>
      </c>
      <c r="D78" s="7" t="str">
        <f aca="false">IF(B78="","",IFERROR(INDEX(Productos!$D$5:$D$104,MATCH(B78,Productos!$B$5:$B$104,0)),""))</f>
        <v/>
      </c>
      <c r="E78" s="21"/>
      <c r="F78" s="11" t="str">
        <f aca="false">IF(B78="","",IFERROR(INDEX(Productos!$F$5:$F$104,MATCH(B78,Productos!$B$5:$B$104,0)),0))</f>
        <v/>
      </c>
      <c r="G78" s="11" t="str">
        <f aca="false">IF(B78="","",E78*F78)</f>
        <v/>
      </c>
    </row>
    <row r="79" customFormat="false" ht="15" hidden="false" customHeight="false" outlineLevel="0" collapsed="false">
      <c r="A79" s="25"/>
      <c r="B79" s="20"/>
      <c r="C79" s="7" t="str">
        <f aca="false">IF(B79="","",IFERROR(INDEX(Productos!$A$5:$A$104,MATCH(B79,Productos!$B$5:$B$104,0)),""))</f>
        <v/>
      </c>
      <c r="D79" s="7" t="str">
        <f aca="false">IF(B79="","",IFERROR(INDEX(Productos!$D$5:$D$104,MATCH(B79,Productos!$B$5:$B$104,0)),""))</f>
        <v/>
      </c>
      <c r="E79" s="21"/>
      <c r="F79" s="11" t="str">
        <f aca="false">IF(B79="","",IFERROR(INDEX(Productos!$F$5:$F$104,MATCH(B79,Productos!$B$5:$B$104,0)),0))</f>
        <v/>
      </c>
      <c r="G79" s="11" t="str">
        <f aca="false">IF(B79="","",E79*F79)</f>
        <v/>
      </c>
    </row>
    <row r="80" customFormat="false" ht="15" hidden="false" customHeight="false" outlineLevel="0" collapsed="false">
      <c r="A80" s="25"/>
      <c r="B80" s="20"/>
      <c r="C80" s="7" t="str">
        <f aca="false">IF(B80="","",IFERROR(INDEX(Productos!$A$5:$A$104,MATCH(B80,Productos!$B$5:$B$104,0)),""))</f>
        <v/>
      </c>
      <c r="D80" s="7" t="str">
        <f aca="false">IF(B80="","",IFERROR(INDEX(Productos!$D$5:$D$104,MATCH(B80,Productos!$B$5:$B$104,0)),""))</f>
        <v/>
      </c>
      <c r="E80" s="21"/>
      <c r="F80" s="11" t="str">
        <f aca="false">IF(B80="","",IFERROR(INDEX(Productos!$F$5:$F$104,MATCH(B80,Productos!$B$5:$B$104,0)),0))</f>
        <v/>
      </c>
      <c r="G80" s="11" t="str">
        <f aca="false">IF(B80="","",E80*F80)</f>
        <v/>
      </c>
    </row>
    <row r="81" customFormat="false" ht="15" hidden="false" customHeight="false" outlineLevel="0" collapsed="false">
      <c r="A81" s="25"/>
      <c r="B81" s="20"/>
      <c r="C81" s="7" t="str">
        <f aca="false">IF(B81="","",IFERROR(INDEX(Productos!$A$5:$A$104,MATCH(B81,Productos!$B$5:$B$104,0)),""))</f>
        <v/>
      </c>
      <c r="D81" s="7" t="str">
        <f aca="false">IF(B81="","",IFERROR(INDEX(Productos!$D$5:$D$104,MATCH(B81,Productos!$B$5:$B$104,0)),""))</f>
        <v/>
      </c>
      <c r="E81" s="21"/>
      <c r="F81" s="11" t="str">
        <f aca="false">IF(B81="","",IFERROR(INDEX(Productos!$F$5:$F$104,MATCH(B81,Productos!$B$5:$B$104,0)),0))</f>
        <v/>
      </c>
      <c r="G81" s="11" t="str">
        <f aca="false">IF(B81="","",E81*F81)</f>
        <v/>
      </c>
    </row>
    <row r="82" customFormat="false" ht="15" hidden="false" customHeight="false" outlineLevel="0" collapsed="false">
      <c r="A82" s="25"/>
      <c r="B82" s="20"/>
      <c r="C82" s="7" t="str">
        <f aca="false">IF(B82="","",IFERROR(INDEX(Productos!$A$5:$A$104,MATCH(B82,Productos!$B$5:$B$104,0)),""))</f>
        <v/>
      </c>
      <c r="D82" s="7" t="str">
        <f aca="false">IF(B82="","",IFERROR(INDEX(Productos!$D$5:$D$104,MATCH(B82,Productos!$B$5:$B$104,0)),""))</f>
        <v/>
      </c>
      <c r="E82" s="21"/>
      <c r="F82" s="11" t="str">
        <f aca="false">IF(B82="","",IFERROR(INDEX(Productos!$F$5:$F$104,MATCH(B82,Productos!$B$5:$B$104,0)),0))</f>
        <v/>
      </c>
      <c r="G82" s="11" t="str">
        <f aca="false">IF(B82="","",E82*F82)</f>
        <v/>
      </c>
    </row>
    <row r="83" customFormat="false" ht="15" hidden="false" customHeight="false" outlineLevel="0" collapsed="false">
      <c r="A83" s="25"/>
      <c r="B83" s="20"/>
      <c r="C83" s="7" t="str">
        <f aca="false">IF(B83="","",IFERROR(INDEX(Productos!$A$5:$A$104,MATCH(B83,Productos!$B$5:$B$104,0)),""))</f>
        <v/>
      </c>
      <c r="D83" s="7" t="str">
        <f aca="false">IF(B83="","",IFERROR(INDEX(Productos!$D$5:$D$104,MATCH(B83,Productos!$B$5:$B$104,0)),""))</f>
        <v/>
      </c>
      <c r="E83" s="21"/>
      <c r="F83" s="11" t="str">
        <f aca="false">IF(B83="","",IFERROR(INDEX(Productos!$F$5:$F$104,MATCH(B83,Productos!$B$5:$B$104,0)),0))</f>
        <v/>
      </c>
      <c r="G83" s="11" t="str">
        <f aca="false">IF(B83="","",E83*F83)</f>
        <v/>
      </c>
    </row>
    <row r="84" customFormat="false" ht="15" hidden="false" customHeight="false" outlineLevel="0" collapsed="false">
      <c r="A84" s="25"/>
      <c r="B84" s="20"/>
      <c r="C84" s="7" t="str">
        <f aca="false">IF(B84="","",IFERROR(INDEX(Productos!$A$5:$A$104,MATCH(B84,Productos!$B$5:$B$104,0)),""))</f>
        <v/>
      </c>
      <c r="D84" s="7" t="str">
        <f aca="false">IF(B84="","",IFERROR(INDEX(Productos!$D$5:$D$104,MATCH(B84,Productos!$B$5:$B$104,0)),""))</f>
        <v/>
      </c>
      <c r="E84" s="21"/>
      <c r="F84" s="11" t="str">
        <f aca="false">IF(B84="","",IFERROR(INDEX(Productos!$F$5:$F$104,MATCH(B84,Productos!$B$5:$B$104,0)),0))</f>
        <v/>
      </c>
      <c r="G84" s="11" t="str">
        <f aca="false">IF(B84="","",E84*F84)</f>
        <v/>
      </c>
    </row>
    <row r="85" customFormat="false" ht="15" hidden="false" customHeight="false" outlineLevel="0" collapsed="false">
      <c r="A85" s="25"/>
      <c r="B85" s="20"/>
      <c r="C85" s="7" t="str">
        <f aca="false">IF(B85="","",IFERROR(INDEX(Productos!$A$5:$A$104,MATCH(B85,Productos!$B$5:$B$104,0)),""))</f>
        <v/>
      </c>
      <c r="D85" s="7" t="str">
        <f aca="false">IF(B85="","",IFERROR(INDEX(Productos!$D$5:$D$104,MATCH(B85,Productos!$B$5:$B$104,0)),""))</f>
        <v/>
      </c>
      <c r="E85" s="21"/>
      <c r="F85" s="11" t="str">
        <f aca="false">IF(B85="","",IFERROR(INDEX(Productos!$F$5:$F$104,MATCH(B85,Productos!$B$5:$B$104,0)),0))</f>
        <v/>
      </c>
      <c r="G85" s="11" t="str">
        <f aca="false">IF(B85="","",E85*F85)</f>
        <v/>
      </c>
    </row>
    <row r="86" customFormat="false" ht="15" hidden="false" customHeight="false" outlineLevel="0" collapsed="false">
      <c r="A86" s="25"/>
      <c r="B86" s="20"/>
      <c r="C86" s="7" t="str">
        <f aca="false">IF(B86="","",IFERROR(INDEX(Productos!$A$5:$A$104,MATCH(B86,Productos!$B$5:$B$104,0)),""))</f>
        <v/>
      </c>
      <c r="D86" s="7" t="str">
        <f aca="false">IF(B86="","",IFERROR(INDEX(Productos!$D$5:$D$104,MATCH(B86,Productos!$B$5:$B$104,0)),""))</f>
        <v/>
      </c>
      <c r="E86" s="21"/>
      <c r="F86" s="11" t="str">
        <f aca="false">IF(B86="","",IFERROR(INDEX(Productos!$F$5:$F$104,MATCH(B86,Productos!$B$5:$B$104,0)),0))</f>
        <v/>
      </c>
      <c r="G86" s="11" t="str">
        <f aca="false">IF(B86="","",E86*F86)</f>
        <v/>
      </c>
    </row>
    <row r="87" customFormat="false" ht="15" hidden="false" customHeight="false" outlineLevel="0" collapsed="false">
      <c r="A87" s="25"/>
      <c r="B87" s="20"/>
      <c r="C87" s="7" t="str">
        <f aca="false">IF(B87="","",IFERROR(INDEX(Productos!$A$5:$A$104,MATCH(B87,Productos!$B$5:$B$104,0)),""))</f>
        <v/>
      </c>
      <c r="D87" s="7" t="str">
        <f aca="false">IF(B87="","",IFERROR(INDEX(Productos!$D$5:$D$104,MATCH(B87,Productos!$B$5:$B$104,0)),""))</f>
        <v/>
      </c>
      <c r="E87" s="21"/>
      <c r="F87" s="11" t="str">
        <f aca="false">IF(B87="","",IFERROR(INDEX(Productos!$F$5:$F$104,MATCH(B87,Productos!$B$5:$B$104,0)),0))</f>
        <v/>
      </c>
      <c r="G87" s="11" t="str">
        <f aca="false">IF(B87="","",E87*F87)</f>
        <v/>
      </c>
    </row>
    <row r="88" customFormat="false" ht="15" hidden="false" customHeight="false" outlineLevel="0" collapsed="false">
      <c r="A88" s="25"/>
      <c r="B88" s="20"/>
      <c r="C88" s="7" t="str">
        <f aca="false">IF(B88="","",IFERROR(INDEX(Productos!$A$5:$A$104,MATCH(B88,Productos!$B$5:$B$104,0)),""))</f>
        <v/>
      </c>
      <c r="D88" s="7" t="str">
        <f aca="false">IF(B88="","",IFERROR(INDEX(Productos!$D$5:$D$104,MATCH(B88,Productos!$B$5:$B$104,0)),""))</f>
        <v/>
      </c>
      <c r="E88" s="21"/>
      <c r="F88" s="11" t="str">
        <f aca="false">IF(B88="","",IFERROR(INDEX(Productos!$F$5:$F$104,MATCH(B88,Productos!$B$5:$B$104,0)),0))</f>
        <v/>
      </c>
      <c r="G88" s="11" t="str">
        <f aca="false">IF(B88="","",E88*F88)</f>
        <v/>
      </c>
    </row>
    <row r="89" customFormat="false" ht="15" hidden="false" customHeight="false" outlineLevel="0" collapsed="false">
      <c r="A89" s="25"/>
      <c r="B89" s="20"/>
      <c r="C89" s="7" t="str">
        <f aca="false">IF(B89="","",IFERROR(INDEX(Productos!$A$5:$A$104,MATCH(B89,Productos!$B$5:$B$104,0)),""))</f>
        <v/>
      </c>
      <c r="D89" s="7" t="str">
        <f aca="false">IF(B89="","",IFERROR(INDEX(Productos!$D$5:$D$104,MATCH(B89,Productos!$B$5:$B$104,0)),""))</f>
        <v/>
      </c>
      <c r="E89" s="21"/>
      <c r="F89" s="11" t="str">
        <f aca="false">IF(B89="","",IFERROR(INDEX(Productos!$F$5:$F$104,MATCH(B89,Productos!$B$5:$B$104,0)),0))</f>
        <v/>
      </c>
      <c r="G89" s="11" t="str">
        <f aca="false">IF(B89="","",E89*F89)</f>
        <v/>
      </c>
    </row>
    <row r="90" customFormat="false" ht="15" hidden="false" customHeight="false" outlineLevel="0" collapsed="false">
      <c r="A90" s="25"/>
      <c r="B90" s="20"/>
      <c r="C90" s="7" t="str">
        <f aca="false">IF(B90="","",IFERROR(INDEX(Productos!$A$5:$A$104,MATCH(B90,Productos!$B$5:$B$104,0)),""))</f>
        <v/>
      </c>
      <c r="D90" s="7" t="str">
        <f aca="false">IF(B90="","",IFERROR(INDEX(Productos!$D$5:$D$104,MATCH(B90,Productos!$B$5:$B$104,0)),""))</f>
        <v/>
      </c>
      <c r="E90" s="21"/>
      <c r="F90" s="11" t="str">
        <f aca="false">IF(B90="","",IFERROR(INDEX(Productos!$F$5:$F$104,MATCH(B90,Productos!$B$5:$B$104,0)),0))</f>
        <v/>
      </c>
      <c r="G90" s="11" t="str">
        <f aca="false">IF(B90="","",E90*F90)</f>
        <v/>
      </c>
    </row>
    <row r="91" customFormat="false" ht="15" hidden="false" customHeight="false" outlineLevel="0" collapsed="false">
      <c r="A91" s="25"/>
      <c r="B91" s="20"/>
      <c r="C91" s="7" t="str">
        <f aca="false">IF(B91="","",IFERROR(INDEX(Productos!$A$5:$A$104,MATCH(B91,Productos!$B$5:$B$104,0)),""))</f>
        <v/>
      </c>
      <c r="D91" s="7" t="str">
        <f aca="false">IF(B91="","",IFERROR(INDEX(Productos!$D$5:$D$104,MATCH(B91,Productos!$B$5:$B$104,0)),""))</f>
        <v/>
      </c>
      <c r="E91" s="21"/>
      <c r="F91" s="11" t="str">
        <f aca="false">IF(B91="","",IFERROR(INDEX(Productos!$F$5:$F$104,MATCH(B91,Productos!$B$5:$B$104,0)),0))</f>
        <v/>
      </c>
      <c r="G91" s="11" t="str">
        <f aca="false">IF(B91="","",E91*F91)</f>
        <v/>
      </c>
    </row>
    <row r="92" customFormat="false" ht="15" hidden="false" customHeight="false" outlineLevel="0" collapsed="false">
      <c r="A92" s="25"/>
      <c r="B92" s="20"/>
      <c r="C92" s="7" t="str">
        <f aca="false">IF(B92="","",IFERROR(INDEX(Productos!$A$5:$A$104,MATCH(B92,Productos!$B$5:$B$104,0)),""))</f>
        <v/>
      </c>
      <c r="D92" s="7" t="str">
        <f aca="false">IF(B92="","",IFERROR(INDEX(Productos!$D$5:$D$104,MATCH(B92,Productos!$B$5:$B$104,0)),""))</f>
        <v/>
      </c>
      <c r="E92" s="21"/>
      <c r="F92" s="11" t="str">
        <f aca="false">IF(B92="","",IFERROR(INDEX(Productos!$F$5:$F$104,MATCH(B92,Productos!$B$5:$B$104,0)),0))</f>
        <v/>
      </c>
      <c r="G92" s="11" t="str">
        <f aca="false">IF(B92="","",E92*F92)</f>
        <v/>
      </c>
    </row>
    <row r="93" customFormat="false" ht="15" hidden="false" customHeight="false" outlineLevel="0" collapsed="false">
      <c r="A93" s="25"/>
      <c r="B93" s="20"/>
      <c r="C93" s="7" t="str">
        <f aca="false">IF(B93="","",IFERROR(INDEX(Productos!$A$5:$A$104,MATCH(B93,Productos!$B$5:$B$104,0)),""))</f>
        <v/>
      </c>
      <c r="D93" s="7" t="str">
        <f aca="false">IF(B93="","",IFERROR(INDEX(Productos!$D$5:$D$104,MATCH(B93,Productos!$B$5:$B$104,0)),""))</f>
        <v/>
      </c>
      <c r="E93" s="21"/>
      <c r="F93" s="11" t="str">
        <f aca="false">IF(B93="","",IFERROR(INDEX(Productos!$F$5:$F$104,MATCH(B93,Productos!$B$5:$B$104,0)),0))</f>
        <v/>
      </c>
      <c r="G93" s="11" t="str">
        <f aca="false">IF(B93="","",E93*F93)</f>
        <v/>
      </c>
    </row>
    <row r="94" customFormat="false" ht="15" hidden="false" customHeight="false" outlineLevel="0" collapsed="false">
      <c r="A94" s="25"/>
      <c r="B94" s="20"/>
      <c r="C94" s="7" t="str">
        <f aca="false">IF(B94="","",IFERROR(INDEX(Productos!$A$5:$A$104,MATCH(B94,Productos!$B$5:$B$104,0)),""))</f>
        <v/>
      </c>
      <c r="D94" s="7" t="str">
        <f aca="false">IF(B94="","",IFERROR(INDEX(Productos!$D$5:$D$104,MATCH(B94,Productos!$B$5:$B$104,0)),""))</f>
        <v/>
      </c>
      <c r="E94" s="21"/>
      <c r="F94" s="11" t="str">
        <f aca="false">IF(B94="","",IFERROR(INDEX(Productos!$F$5:$F$104,MATCH(B94,Productos!$B$5:$B$104,0)),0))</f>
        <v/>
      </c>
      <c r="G94" s="11" t="str">
        <f aca="false">IF(B94="","",E94*F94)</f>
        <v/>
      </c>
    </row>
    <row r="95" customFormat="false" ht="15" hidden="false" customHeight="false" outlineLevel="0" collapsed="false">
      <c r="A95" s="25"/>
      <c r="B95" s="20"/>
      <c r="C95" s="7" t="str">
        <f aca="false">IF(B95="","",IFERROR(INDEX(Productos!$A$5:$A$104,MATCH(B95,Productos!$B$5:$B$104,0)),""))</f>
        <v/>
      </c>
      <c r="D95" s="7" t="str">
        <f aca="false">IF(B95="","",IFERROR(INDEX(Productos!$D$5:$D$104,MATCH(B95,Productos!$B$5:$B$104,0)),""))</f>
        <v/>
      </c>
      <c r="E95" s="21"/>
      <c r="F95" s="11" t="str">
        <f aca="false">IF(B95="","",IFERROR(INDEX(Productos!$F$5:$F$104,MATCH(B95,Productos!$B$5:$B$104,0)),0))</f>
        <v/>
      </c>
      <c r="G95" s="11" t="str">
        <f aca="false">IF(B95="","",E95*F95)</f>
        <v/>
      </c>
    </row>
    <row r="96" customFormat="false" ht="15" hidden="false" customHeight="false" outlineLevel="0" collapsed="false">
      <c r="A96" s="25"/>
      <c r="B96" s="20"/>
      <c r="C96" s="7" t="str">
        <f aca="false">IF(B96="","",IFERROR(INDEX(Productos!$A$5:$A$104,MATCH(B96,Productos!$B$5:$B$104,0)),""))</f>
        <v/>
      </c>
      <c r="D96" s="7" t="str">
        <f aca="false">IF(B96="","",IFERROR(INDEX(Productos!$D$5:$D$104,MATCH(B96,Productos!$B$5:$B$104,0)),""))</f>
        <v/>
      </c>
      <c r="E96" s="21"/>
      <c r="F96" s="11" t="str">
        <f aca="false">IF(B96="","",IFERROR(INDEX(Productos!$F$5:$F$104,MATCH(B96,Productos!$B$5:$B$104,0)),0))</f>
        <v/>
      </c>
      <c r="G96" s="11" t="str">
        <f aca="false">IF(B96="","",E96*F96)</f>
        <v/>
      </c>
    </row>
    <row r="97" customFormat="false" ht="15" hidden="false" customHeight="false" outlineLevel="0" collapsed="false">
      <c r="A97" s="25"/>
      <c r="B97" s="20"/>
      <c r="C97" s="7" t="str">
        <f aca="false">IF(B97="","",IFERROR(INDEX(Productos!$A$5:$A$104,MATCH(B97,Productos!$B$5:$B$104,0)),""))</f>
        <v/>
      </c>
      <c r="D97" s="7" t="str">
        <f aca="false">IF(B97="","",IFERROR(INDEX(Productos!$D$5:$D$104,MATCH(B97,Productos!$B$5:$B$104,0)),""))</f>
        <v/>
      </c>
      <c r="E97" s="21"/>
      <c r="F97" s="11" t="str">
        <f aca="false">IF(B97="","",IFERROR(INDEX(Productos!$F$5:$F$104,MATCH(B97,Productos!$B$5:$B$104,0)),0))</f>
        <v/>
      </c>
      <c r="G97" s="11" t="str">
        <f aca="false">IF(B97="","",E97*F97)</f>
        <v/>
      </c>
    </row>
    <row r="98" customFormat="false" ht="15" hidden="false" customHeight="false" outlineLevel="0" collapsed="false">
      <c r="A98" s="25"/>
      <c r="B98" s="20"/>
      <c r="C98" s="7" t="str">
        <f aca="false">IF(B98="","",IFERROR(INDEX(Productos!$A$5:$A$104,MATCH(B98,Productos!$B$5:$B$104,0)),""))</f>
        <v/>
      </c>
      <c r="D98" s="7" t="str">
        <f aca="false">IF(B98="","",IFERROR(INDEX(Productos!$D$5:$D$104,MATCH(B98,Productos!$B$5:$B$104,0)),""))</f>
        <v/>
      </c>
      <c r="E98" s="21"/>
      <c r="F98" s="11" t="str">
        <f aca="false">IF(B98="","",IFERROR(INDEX(Productos!$F$5:$F$104,MATCH(B98,Productos!$B$5:$B$104,0)),0))</f>
        <v/>
      </c>
      <c r="G98" s="11" t="str">
        <f aca="false">IF(B98="","",E98*F98)</f>
        <v/>
      </c>
    </row>
    <row r="99" customFormat="false" ht="15" hidden="false" customHeight="false" outlineLevel="0" collapsed="false">
      <c r="A99" s="25"/>
      <c r="B99" s="20"/>
      <c r="C99" s="7" t="str">
        <f aca="false">IF(B99="","",IFERROR(INDEX(Productos!$A$5:$A$104,MATCH(B99,Productos!$B$5:$B$104,0)),""))</f>
        <v/>
      </c>
      <c r="D99" s="7" t="str">
        <f aca="false">IF(B99="","",IFERROR(INDEX(Productos!$D$5:$D$104,MATCH(B99,Productos!$B$5:$B$104,0)),""))</f>
        <v/>
      </c>
      <c r="E99" s="21"/>
      <c r="F99" s="11" t="str">
        <f aca="false">IF(B99="","",IFERROR(INDEX(Productos!$F$5:$F$104,MATCH(B99,Productos!$B$5:$B$104,0)),0))</f>
        <v/>
      </c>
      <c r="G99" s="11" t="str">
        <f aca="false">IF(B99="","",E99*F99)</f>
        <v/>
      </c>
    </row>
    <row r="100" customFormat="false" ht="15" hidden="false" customHeight="false" outlineLevel="0" collapsed="false">
      <c r="A100" s="25"/>
      <c r="B100" s="20"/>
      <c r="C100" s="7" t="str">
        <f aca="false">IF(B100="","",IFERROR(INDEX(Productos!$A$5:$A$104,MATCH(B100,Productos!$B$5:$B$104,0)),""))</f>
        <v/>
      </c>
      <c r="D100" s="7" t="str">
        <f aca="false">IF(B100="","",IFERROR(INDEX(Productos!$D$5:$D$104,MATCH(B100,Productos!$B$5:$B$104,0)),""))</f>
        <v/>
      </c>
      <c r="E100" s="21"/>
      <c r="F100" s="11" t="str">
        <f aca="false">IF(B100="","",IFERROR(INDEX(Productos!$F$5:$F$104,MATCH(B100,Productos!$B$5:$B$104,0)),0))</f>
        <v/>
      </c>
      <c r="G100" s="11" t="str">
        <f aca="false">IF(B100="","",E100*F100)</f>
        <v/>
      </c>
    </row>
    <row r="101" customFormat="false" ht="15" hidden="false" customHeight="false" outlineLevel="0" collapsed="false">
      <c r="A101" s="25"/>
      <c r="B101" s="20"/>
      <c r="C101" s="7" t="str">
        <f aca="false">IF(B101="","",IFERROR(INDEX(Productos!$A$5:$A$104,MATCH(B101,Productos!$B$5:$B$104,0)),""))</f>
        <v/>
      </c>
      <c r="D101" s="7" t="str">
        <f aca="false">IF(B101="","",IFERROR(INDEX(Productos!$D$5:$D$104,MATCH(B101,Productos!$B$5:$B$104,0)),""))</f>
        <v/>
      </c>
      <c r="E101" s="21"/>
      <c r="F101" s="11" t="str">
        <f aca="false">IF(B101="","",IFERROR(INDEX(Productos!$F$5:$F$104,MATCH(B101,Productos!$B$5:$B$104,0)),0))</f>
        <v/>
      </c>
      <c r="G101" s="11" t="str">
        <f aca="false">IF(B101="","",E101*F101)</f>
        <v/>
      </c>
    </row>
    <row r="102" customFormat="false" ht="15" hidden="false" customHeight="false" outlineLevel="0" collapsed="false">
      <c r="A102" s="25"/>
      <c r="B102" s="20"/>
      <c r="C102" s="7" t="str">
        <f aca="false">IF(B102="","",IFERROR(INDEX(Productos!$A$5:$A$104,MATCH(B102,Productos!$B$5:$B$104,0)),""))</f>
        <v/>
      </c>
      <c r="D102" s="7" t="str">
        <f aca="false">IF(B102="","",IFERROR(INDEX(Productos!$D$5:$D$104,MATCH(B102,Productos!$B$5:$B$104,0)),""))</f>
        <v/>
      </c>
      <c r="E102" s="21"/>
      <c r="F102" s="11" t="str">
        <f aca="false">IF(B102="","",IFERROR(INDEX(Productos!$F$5:$F$104,MATCH(B102,Productos!$B$5:$B$104,0)),0))</f>
        <v/>
      </c>
      <c r="G102" s="11" t="str">
        <f aca="false">IF(B102="","",E102*F102)</f>
        <v/>
      </c>
    </row>
    <row r="103" customFormat="false" ht="15" hidden="false" customHeight="false" outlineLevel="0" collapsed="false">
      <c r="A103" s="25"/>
      <c r="B103" s="20"/>
      <c r="C103" s="7" t="str">
        <f aca="false">IF(B103="","",IFERROR(INDEX(Productos!$A$5:$A$104,MATCH(B103,Productos!$B$5:$B$104,0)),""))</f>
        <v/>
      </c>
      <c r="D103" s="7" t="str">
        <f aca="false">IF(B103="","",IFERROR(INDEX(Productos!$D$5:$D$104,MATCH(B103,Productos!$B$5:$B$104,0)),""))</f>
        <v/>
      </c>
      <c r="E103" s="21"/>
      <c r="F103" s="11" t="str">
        <f aca="false">IF(B103="","",IFERROR(INDEX(Productos!$F$5:$F$104,MATCH(B103,Productos!$B$5:$B$104,0)),0))</f>
        <v/>
      </c>
      <c r="G103" s="11" t="str">
        <f aca="false">IF(B103="","",E103*F103)</f>
        <v/>
      </c>
    </row>
    <row r="104" customFormat="false" ht="15" hidden="false" customHeight="false" outlineLevel="0" collapsed="false">
      <c r="A104" s="25"/>
      <c r="B104" s="20"/>
      <c r="C104" s="7" t="str">
        <f aca="false">IF(B104="","",IFERROR(INDEX(Productos!$A$5:$A$104,MATCH(B104,Productos!$B$5:$B$104,0)),""))</f>
        <v/>
      </c>
      <c r="D104" s="7" t="str">
        <f aca="false">IF(B104="","",IFERROR(INDEX(Productos!$D$5:$D$104,MATCH(B104,Productos!$B$5:$B$104,0)),""))</f>
        <v/>
      </c>
      <c r="E104" s="21"/>
      <c r="F104" s="11" t="str">
        <f aca="false">IF(B104="","",IFERROR(INDEX(Productos!$F$5:$F$104,MATCH(B104,Productos!$B$5:$B$104,0)),0))</f>
        <v/>
      </c>
      <c r="G104" s="11" t="str">
        <f aca="false">IF(B104="","",E104*F104)</f>
        <v/>
      </c>
    </row>
    <row r="105" customFormat="false" ht="15" hidden="false" customHeight="false" outlineLevel="0" collapsed="false">
      <c r="A105" s="25"/>
      <c r="B105" s="20"/>
      <c r="C105" s="7" t="str">
        <f aca="false">IF(B105="","",IFERROR(INDEX(Productos!$A$5:$A$104,MATCH(B105,Productos!$B$5:$B$104,0)),""))</f>
        <v/>
      </c>
      <c r="D105" s="7" t="str">
        <f aca="false">IF(B105="","",IFERROR(INDEX(Productos!$D$5:$D$104,MATCH(B105,Productos!$B$5:$B$104,0)),""))</f>
        <v/>
      </c>
      <c r="E105" s="21"/>
      <c r="F105" s="11" t="str">
        <f aca="false">IF(B105="","",IFERROR(INDEX(Productos!$F$5:$F$104,MATCH(B105,Productos!$B$5:$B$104,0)),0))</f>
        <v/>
      </c>
      <c r="G105" s="11" t="str">
        <f aca="false">IF(B105="","",E105*F105)</f>
        <v/>
      </c>
    </row>
    <row r="106" customFormat="false" ht="15" hidden="false" customHeight="false" outlineLevel="0" collapsed="false">
      <c r="A106" s="25"/>
      <c r="B106" s="20"/>
      <c r="C106" s="7" t="str">
        <f aca="false">IF(B106="","",IFERROR(INDEX(Productos!$A$5:$A$104,MATCH(B106,Productos!$B$5:$B$104,0)),""))</f>
        <v/>
      </c>
      <c r="D106" s="7" t="str">
        <f aca="false">IF(B106="","",IFERROR(INDEX(Productos!$D$5:$D$104,MATCH(B106,Productos!$B$5:$B$104,0)),""))</f>
        <v/>
      </c>
      <c r="E106" s="21"/>
      <c r="F106" s="11" t="str">
        <f aca="false">IF(B106="","",IFERROR(INDEX(Productos!$F$5:$F$104,MATCH(B106,Productos!$B$5:$B$104,0)),0))</f>
        <v/>
      </c>
      <c r="G106" s="11" t="str">
        <f aca="false">IF(B106="","",E106*F106)</f>
        <v/>
      </c>
    </row>
    <row r="107" customFormat="false" ht="15" hidden="false" customHeight="false" outlineLevel="0" collapsed="false">
      <c r="A107" s="25"/>
      <c r="B107" s="20"/>
      <c r="C107" s="7" t="str">
        <f aca="false">IF(B107="","",IFERROR(INDEX(Productos!$A$5:$A$104,MATCH(B107,Productos!$B$5:$B$104,0)),""))</f>
        <v/>
      </c>
      <c r="D107" s="7" t="str">
        <f aca="false">IF(B107="","",IFERROR(INDEX(Productos!$D$5:$D$104,MATCH(B107,Productos!$B$5:$B$104,0)),""))</f>
        <v/>
      </c>
      <c r="E107" s="21"/>
      <c r="F107" s="11" t="str">
        <f aca="false">IF(B107="","",IFERROR(INDEX(Productos!$F$5:$F$104,MATCH(B107,Productos!$B$5:$B$104,0)),0))</f>
        <v/>
      </c>
      <c r="G107" s="11" t="str">
        <f aca="false">IF(B107="","",E107*F107)</f>
        <v/>
      </c>
    </row>
    <row r="108" customFormat="false" ht="15" hidden="false" customHeight="false" outlineLevel="0" collapsed="false">
      <c r="A108" s="25"/>
      <c r="B108" s="20"/>
      <c r="C108" s="7" t="str">
        <f aca="false">IF(B108="","",IFERROR(INDEX(Productos!$A$5:$A$104,MATCH(B108,Productos!$B$5:$B$104,0)),""))</f>
        <v/>
      </c>
      <c r="D108" s="7" t="str">
        <f aca="false">IF(B108="","",IFERROR(INDEX(Productos!$D$5:$D$104,MATCH(B108,Productos!$B$5:$B$104,0)),""))</f>
        <v/>
      </c>
      <c r="E108" s="21"/>
      <c r="F108" s="11" t="str">
        <f aca="false">IF(B108="","",IFERROR(INDEX(Productos!$F$5:$F$104,MATCH(B108,Productos!$B$5:$B$104,0)),0))</f>
        <v/>
      </c>
      <c r="G108" s="11" t="str">
        <f aca="false">IF(B108="","",E108*F108)</f>
        <v/>
      </c>
    </row>
    <row r="109" customFormat="false" ht="15" hidden="false" customHeight="false" outlineLevel="0" collapsed="false">
      <c r="A109" s="25"/>
      <c r="B109" s="20"/>
      <c r="C109" s="7" t="str">
        <f aca="false">IF(B109="","",IFERROR(INDEX(Productos!$A$5:$A$104,MATCH(B109,Productos!$B$5:$B$104,0)),""))</f>
        <v/>
      </c>
      <c r="D109" s="7" t="str">
        <f aca="false">IF(B109="","",IFERROR(INDEX(Productos!$D$5:$D$104,MATCH(B109,Productos!$B$5:$B$104,0)),""))</f>
        <v/>
      </c>
      <c r="E109" s="21"/>
      <c r="F109" s="11" t="str">
        <f aca="false">IF(B109="","",IFERROR(INDEX(Productos!$F$5:$F$104,MATCH(B109,Productos!$B$5:$B$104,0)),0))</f>
        <v/>
      </c>
      <c r="G109" s="11" t="str">
        <f aca="false">IF(B109="","",E109*F109)</f>
        <v/>
      </c>
    </row>
    <row r="110" customFormat="false" ht="15" hidden="false" customHeight="false" outlineLevel="0" collapsed="false">
      <c r="A110" s="25"/>
      <c r="B110" s="20"/>
      <c r="C110" s="7" t="str">
        <f aca="false">IF(B110="","",IFERROR(INDEX(Productos!$A$5:$A$104,MATCH(B110,Productos!$B$5:$B$104,0)),""))</f>
        <v/>
      </c>
      <c r="D110" s="7" t="str">
        <f aca="false">IF(B110="","",IFERROR(INDEX(Productos!$D$5:$D$104,MATCH(B110,Productos!$B$5:$B$104,0)),""))</f>
        <v/>
      </c>
      <c r="E110" s="21"/>
      <c r="F110" s="11" t="str">
        <f aca="false">IF(B110="","",IFERROR(INDEX(Productos!$F$5:$F$104,MATCH(B110,Productos!$B$5:$B$104,0)),0))</f>
        <v/>
      </c>
      <c r="G110" s="11" t="str">
        <f aca="false">IF(B110="","",E110*F110)</f>
        <v/>
      </c>
    </row>
    <row r="111" customFormat="false" ht="15" hidden="false" customHeight="false" outlineLevel="0" collapsed="false">
      <c r="A111" s="25"/>
      <c r="B111" s="20"/>
      <c r="C111" s="7" t="str">
        <f aca="false">IF(B111="","",IFERROR(INDEX(Productos!$A$5:$A$104,MATCH(B111,Productos!$B$5:$B$104,0)),""))</f>
        <v/>
      </c>
      <c r="D111" s="7" t="str">
        <f aca="false">IF(B111="","",IFERROR(INDEX(Productos!$D$5:$D$104,MATCH(B111,Productos!$B$5:$B$104,0)),""))</f>
        <v/>
      </c>
      <c r="E111" s="21"/>
      <c r="F111" s="11" t="str">
        <f aca="false">IF(B111="","",IFERROR(INDEX(Productos!$F$5:$F$104,MATCH(B111,Productos!$B$5:$B$104,0)),0))</f>
        <v/>
      </c>
      <c r="G111" s="11" t="str">
        <f aca="false">IF(B111="","",E111*F111)</f>
        <v/>
      </c>
    </row>
    <row r="112" customFormat="false" ht="15" hidden="false" customHeight="false" outlineLevel="0" collapsed="false">
      <c r="A112" s="25"/>
      <c r="B112" s="20"/>
      <c r="C112" s="7" t="str">
        <f aca="false">IF(B112="","",IFERROR(INDEX(Productos!$A$5:$A$104,MATCH(B112,Productos!$B$5:$B$104,0)),""))</f>
        <v/>
      </c>
      <c r="D112" s="7" t="str">
        <f aca="false">IF(B112="","",IFERROR(INDEX(Productos!$D$5:$D$104,MATCH(B112,Productos!$B$5:$B$104,0)),""))</f>
        <v/>
      </c>
      <c r="E112" s="21"/>
      <c r="F112" s="11" t="str">
        <f aca="false">IF(B112="","",IFERROR(INDEX(Productos!$F$5:$F$104,MATCH(B112,Productos!$B$5:$B$104,0)),0))</f>
        <v/>
      </c>
      <c r="G112" s="11" t="str">
        <f aca="false">IF(B112="","",E112*F112)</f>
        <v/>
      </c>
    </row>
    <row r="113" customFormat="false" ht="15" hidden="false" customHeight="false" outlineLevel="0" collapsed="false">
      <c r="A113" s="25"/>
      <c r="B113" s="20"/>
      <c r="C113" s="7" t="str">
        <f aca="false">IF(B113="","",IFERROR(INDEX(Productos!$A$5:$A$104,MATCH(B113,Productos!$B$5:$B$104,0)),""))</f>
        <v/>
      </c>
      <c r="D113" s="7" t="str">
        <f aca="false">IF(B113="","",IFERROR(INDEX(Productos!$D$5:$D$104,MATCH(B113,Productos!$B$5:$B$104,0)),""))</f>
        <v/>
      </c>
      <c r="E113" s="21"/>
      <c r="F113" s="11" t="str">
        <f aca="false">IF(B113="","",IFERROR(INDEX(Productos!$F$5:$F$104,MATCH(B113,Productos!$B$5:$B$104,0)),0))</f>
        <v/>
      </c>
      <c r="G113" s="11" t="str">
        <f aca="false">IF(B113="","",E113*F113)</f>
        <v/>
      </c>
    </row>
    <row r="114" customFormat="false" ht="15" hidden="false" customHeight="false" outlineLevel="0" collapsed="false">
      <c r="A114" s="25"/>
      <c r="B114" s="20"/>
      <c r="C114" s="7" t="str">
        <f aca="false">IF(B114="","",IFERROR(INDEX(Productos!$A$5:$A$104,MATCH(B114,Productos!$B$5:$B$104,0)),""))</f>
        <v/>
      </c>
      <c r="D114" s="7" t="str">
        <f aca="false">IF(B114="","",IFERROR(INDEX(Productos!$D$5:$D$104,MATCH(B114,Productos!$B$5:$B$104,0)),""))</f>
        <v/>
      </c>
      <c r="E114" s="21"/>
      <c r="F114" s="11" t="str">
        <f aca="false">IF(B114="","",IFERROR(INDEX(Productos!$F$5:$F$104,MATCH(B114,Productos!$B$5:$B$104,0)),0))</f>
        <v/>
      </c>
      <c r="G114" s="11" t="str">
        <f aca="false">IF(B114="","",E114*F114)</f>
        <v/>
      </c>
    </row>
    <row r="115" customFormat="false" ht="15" hidden="false" customHeight="false" outlineLevel="0" collapsed="false">
      <c r="A115" s="25"/>
      <c r="B115" s="20"/>
      <c r="C115" s="7" t="str">
        <f aca="false">IF(B115="","",IFERROR(INDEX(Productos!$A$5:$A$104,MATCH(B115,Productos!$B$5:$B$104,0)),""))</f>
        <v/>
      </c>
      <c r="D115" s="7" t="str">
        <f aca="false">IF(B115="","",IFERROR(INDEX(Productos!$D$5:$D$104,MATCH(B115,Productos!$B$5:$B$104,0)),""))</f>
        <v/>
      </c>
      <c r="E115" s="21"/>
      <c r="F115" s="11" t="str">
        <f aca="false">IF(B115="","",IFERROR(INDEX(Productos!$F$5:$F$104,MATCH(B115,Productos!$B$5:$B$104,0)),0))</f>
        <v/>
      </c>
      <c r="G115" s="11" t="str">
        <f aca="false">IF(B115="","",E115*F115)</f>
        <v/>
      </c>
    </row>
    <row r="116" customFormat="false" ht="15" hidden="false" customHeight="false" outlineLevel="0" collapsed="false">
      <c r="A116" s="25"/>
      <c r="B116" s="20"/>
      <c r="C116" s="7" t="str">
        <f aca="false">IF(B116="","",IFERROR(INDEX(Productos!$A$5:$A$104,MATCH(B116,Productos!$B$5:$B$104,0)),""))</f>
        <v/>
      </c>
      <c r="D116" s="7" t="str">
        <f aca="false">IF(B116="","",IFERROR(INDEX(Productos!$D$5:$D$104,MATCH(B116,Productos!$B$5:$B$104,0)),""))</f>
        <v/>
      </c>
      <c r="E116" s="21"/>
      <c r="F116" s="11" t="str">
        <f aca="false">IF(B116="","",IFERROR(INDEX(Productos!$F$5:$F$104,MATCH(B116,Productos!$B$5:$B$104,0)),0))</f>
        <v/>
      </c>
      <c r="G116" s="11" t="str">
        <f aca="false">IF(B116="","",E116*F116)</f>
        <v/>
      </c>
    </row>
    <row r="117" customFormat="false" ht="15" hidden="false" customHeight="false" outlineLevel="0" collapsed="false">
      <c r="A117" s="25"/>
      <c r="B117" s="20"/>
      <c r="C117" s="7" t="str">
        <f aca="false">IF(B117="","",IFERROR(INDEX(Productos!$A$5:$A$104,MATCH(B117,Productos!$B$5:$B$104,0)),""))</f>
        <v/>
      </c>
      <c r="D117" s="7" t="str">
        <f aca="false">IF(B117="","",IFERROR(INDEX(Productos!$D$5:$D$104,MATCH(B117,Productos!$B$5:$B$104,0)),""))</f>
        <v/>
      </c>
      <c r="E117" s="21"/>
      <c r="F117" s="11" t="str">
        <f aca="false">IF(B117="","",IFERROR(INDEX(Productos!$F$5:$F$104,MATCH(B117,Productos!$B$5:$B$104,0)),0))</f>
        <v/>
      </c>
      <c r="G117" s="11" t="str">
        <f aca="false">IF(B117="","",E117*F117)</f>
        <v/>
      </c>
    </row>
    <row r="118" customFormat="false" ht="15" hidden="false" customHeight="false" outlineLevel="0" collapsed="false">
      <c r="A118" s="25"/>
      <c r="B118" s="20"/>
      <c r="C118" s="7" t="str">
        <f aca="false">IF(B118="","",IFERROR(INDEX(Productos!$A$5:$A$104,MATCH(B118,Productos!$B$5:$B$104,0)),""))</f>
        <v/>
      </c>
      <c r="D118" s="7" t="str">
        <f aca="false">IF(B118="","",IFERROR(INDEX(Productos!$D$5:$D$104,MATCH(B118,Productos!$B$5:$B$104,0)),""))</f>
        <v/>
      </c>
      <c r="E118" s="21"/>
      <c r="F118" s="11" t="str">
        <f aca="false">IF(B118="","",IFERROR(INDEX(Productos!$F$5:$F$104,MATCH(B118,Productos!$B$5:$B$104,0)),0))</f>
        <v/>
      </c>
      <c r="G118" s="11" t="str">
        <f aca="false">IF(B118="","",E118*F118)</f>
        <v/>
      </c>
    </row>
    <row r="119" customFormat="false" ht="15" hidden="false" customHeight="false" outlineLevel="0" collapsed="false">
      <c r="A119" s="25"/>
      <c r="B119" s="20"/>
      <c r="C119" s="7" t="str">
        <f aca="false">IF(B119="","",IFERROR(INDEX(Productos!$A$5:$A$104,MATCH(B119,Productos!$B$5:$B$104,0)),""))</f>
        <v/>
      </c>
      <c r="D119" s="7" t="str">
        <f aca="false">IF(B119="","",IFERROR(INDEX(Productos!$D$5:$D$104,MATCH(B119,Productos!$B$5:$B$104,0)),""))</f>
        <v/>
      </c>
      <c r="E119" s="21"/>
      <c r="F119" s="11" t="str">
        <f aca="false">IF(B119="","",IFERROR(INDEX(Productos!$F$5:$F$104,MATCH(B119,Productos!$B$5:$B$104,0)),0))</f>
        <v/>
      </c>
      <c r="G119" s="11" t="str">
        <f aca="false">IF(B119="","",E119*F119)</f>
        <v/>
      </c>
    </row>
    <row r="120" customFormat="false" ht="15" hidden="false" customHeight="false" outlineLevel="0" collapsed="false">
      <c r="A120" s="25"/>
      <c r="B120" s="20"/>
      <c r="C120" s="7" t="str">
        <f aca="false">IF(B120="","",IFERROR(INDEX(Productos!$A$5:$A$104,MATCH(B120,Productos!$B$5:$B$104,0)),""))</f>
        <v/>
      </c>
      <c r="D120" s="7" t="str">
        <f aca="false">IF(B120="","",IFERROR(INDEX(Productos!$D$5:$D$104,MATCH(B120,Productos!$B$5:$B$104,0)),""))</f>
        <v/>
      </c>
      <c r="E120" s="21"/>
      <c r="F120" s="11" t="str">
        <f aca="false">IF(B120="","",IFERROR(INDEX(Productos!$F$5:$F$104,MATCH(B120,Productos!$B$5:$B$104,0)),0))</f>
        <v/>
      </c>
      <c r="G120" s="11" t="str">
        <f aca="false">IF(B120="","",E120*F120)</f>
        <v/>
      </c>
    </row>
    <row r="121" customFormat="false" ht="15" hidden="false" customHeight="false" outlineLevel="0" collapsed="false">
      <c r="A121" s="25"/>
      <c r="B121" s="20"/>
      <c r="C121" s="7" t="str">
        <f aca="false">IF(B121="","",IFERROR(INDEX(Productos!$A$5:$A$104,MATCH(B121,Productos!$B$5:$B$104,0)),""))</f>
        <v/>
      </c>
      <c r="D121" s="7" t="str">
        <f aca="false">IF(B121="","",IFERROR(INDEX(Productos!$D$5:$D$104,MATCH(B121,Productos!$B$5:$B$104,0)),""))</f>
        <v/>
      </c>
      <c r="E121" s="21"/>
      <c r="F121" s="11" t="str">
        <f aca="false">IF(B121="","",IFERROR(INDEX(Productos!$F$5:$F$104,MATCH(B121,Productos!$B$5:$B$104,0)),0))</f>
        <v/>
      </c>
      <c r="G121" s="11" t="str">
        <f aca="false">IF(B121="","",E121*F121)</f>
        <v/>
      </c>
    </row>
    <row r="122" customFormat="false" ht="15" hidden="false" customHeight="false" outlineLevel="0" collapsed="false">
      <c r="A122" s="25"/>
      <c r="B122" s="20"/>
      <c r="C122" s="7" t="str">
        <f aca="false">IF(B122="","",IFERROR(INDEX(Productos!$A$5:$A$104,MATCH(B122,Productos!$B$5:$B$104,0)),""))</f>
        <v/>
      </c>
      <c r="D122" s="7" t="str">
        <f aca="false">IF(B122="","",IFERROR(INDEX(Productos!$D$5:$D$104,MATCH(B122,Productos!$B$5:$B$104,0)),""))</f>
        <v/>
      </c>
      <c r="E122" s="21"/>
      <c r="F122" s="11" t="str">
        <f aca="false">IF(B122="","",IFERROR(INDEX(Productos!$F$5:$F$104,MATCH(B122,Productos!$B$5:$B$104,0)),0))</f>
        <v/>
      </c>
      <c r="G122" s="11" t="str">
        <f aca="false">IF(B122="","",E122*F122)</f>
        <v/>
      </c>
    </row>
    <row r="123" customFormat="false" ht="15" hidden="false" customHeight="false" outlineLevel="0" collapsed="false">
      <c r="A123" s="25"/>
      <c r="B123" s="20"/>
      <c r="C123" s="7" t="str">
        <f aca="false">IF(B123="","",IFERROR(INDEX(Productos!$A$5:$A$104,MATCH(B123,Productos!$B$5:$B$104,0)),""))</f>
        <v/>
      </c>
      <c r="D123" s="7" t="str">
        <f aca="false">IF(B123="","",IFERROR(INDEX(Productos!$D$5:$D$104,MATCH(B123,Productos!$B$5:$B$104,0)),""))</f>
        <v/>
      </c>
      <c r="E123" s="21"/>
      <c r="F123" s="11" t="str">
        <f aca="false">IF(B123="","",IFERROR(INDEX(Productos!$F$5:$F$104,MATCH(B123,Productos!$B$5:$B$104,0)),0))</f>
        <v/>
      </c>
      <c r="G123" s="11" t="str">
        <f aca="false">IF(B123="","",E123*F123)</f>
        <v/>
      </c>
    </row>
    <row r="124" customFormat="false" ht="15" hidden="false" customHeight="false" outlineLevel="0" collapsed="false">
      <c r="A124" s="25"/>
      <c r="B124" s="20"/>
      <c r="C124" s="7" t="str">
        <f aca="false">IF(B124="","",IFERROR(INDEX(Productos!$A$5:$A$104,MATCH(B124,Productos!$B$5:$B$104,0)),""))</f>
        <v/>
      </c>
      <c r="D124" s="7" t="str">
        <f aca="false">IF(B124="","",IFERROR(INDEX(Productos!$D$5:$D$104,MATCH(B124,Productos!$B$5:$B$104,0)),""))</f>
        <v/>
      </c>
      <c r="E124" s="21"/>
      <c r="F124" s="11" t="str">
        <f aca="false">IF(B124="","",IFERROR(INDEX(Productos!$F$5:$F$104,MATCH(B124,Productos!$B$5:$B$104,0)),0))</f>
        <v/>
      </c>
      <c r="G124" s="11" t="str">
        <f aca="false">IF(B124="","",E124*F124)</f>
        <v/>
      </c>
    </row>
    <row r="125" customFormat="false" ht="15" hidden="false" customHeight="false" outlineLevel="0" collapsed="false">
      <c r="A125" s="25"/>
      <c r="B125" s="20"/>
      <c r="C125" s="7" t="str">
        <f aca="false">IF(B125="","",IFERROR(INDEX(Productos!$A$5:$A$104,MATCH(B125,Productos!$B$5:$B$104,0)),""))</f>
        <v/>
      </c>
      <c r="D125" s="7" t="str">
        <f aca="false">IF(B125="","",IFERROR(INDEX(Productos!$D$5:$D$104,MATCH(B125,Productos!$B$5:$B$104,0)),""))</f>
        <v/>
      </c>
      <c r="E125" s="21"/>
      <c r="F125" s="11" t="str">
        <f aca="false">IF(B125="","",IFERROR(INDEX(Productos!$F$5:$F$104,MATCH(B125,Productos!$B$5:$B$104,0)),0))</f>
        <v/>
      </c>
      <c r="G125" s="11" t="str">
        <f aca="false">IF(B125="","",E125*F125)</f>
        <v/>
      </c>
    </row>
    <row r="126" customFormat="false" ht="15" hidden="false" customHeight="false" outlineLevel="0" collapsed="false">
      <c r="A126" s="25"/>
      <c r="B126" s="20"/>
      <c r="C126" s="7" t="str">
        <f aca="false">IF(B126="","",IFERROR(INDEX(Productos!$A$5:$A$104,MATCH(B126,Productos!$B$5:$B$104,0)),""))</f>
        <v/>
      </c>
      <c r="D126" s="7" t="str">
        <f aca="false">IF(B126="","",IFERROR(INDEX(Productos!$D$5:$D$104,MATCH(B126,Productos!$B$5:$B$104,0)),""))</f>
        <v/>
      </c>
      <c r="E126" s="21"/>
      <c r="F126" s="11" t="str">
        <f aca="false">IF(B126="","",IFERROR(INDEX(Productos!$F$5:$F$104,MATCH(B126,Productos!$B$5:$B$104,0)),0))</f>
        <v/>
      </c>
      <c r="G126" s="11" t="str">
        <f aca="false">IF(B126="","",E126*F126)</f>
        <v/>
      </c>
    </row>
    <row r="127" customFormat="false" ht="15" hidden="false" customHeight="false" outlineLevel="0" collapsed="false">
      <c r="A127" s="25"/>
      <c r="B127" s="20"/>
      <c r="C127" s="7" t="str">
        <f aca="false">IF(B127="","",IFERROR(INDEX(Productos!$A$5:$A$104,MATCH(B127,Productos!$B$5:$B$104,0)),""))</f>
        <v/>
      </c>
      <c r="D127" s="7" t="str">
        <f aca="false">IF(B127="","",IFERROR(INDEX(Productos!$D$5:$D$104,MATCH(B127,Productos!$B$5:$B$104,0)),""))</f>
        <v/>
      </c>
      <c r="E127" s="21"/>
      <c r="F127" s="11" t="str">
        <f aca="false">IF(B127="","",IFERROR(INDEX(Productos!$F$5:$F$104,MATCH(B127,Productos!$B$5:$B$104,0)),0))</f>
        <v/>
      </c>
      <c r="G127" s="11" t="str">
        <f aca="false">IF(B127="","",E127*F127)</f>
        <v/>
      </c>
    </row>
    <row r="128" customFormat="false" ht="15" hidden="false" customHeight="false" outlineLevel="0" collapsed="false">
      <c r="A128" s="25"/>
      <c r="B128" s="20"/>
      <c r="C128" s="7" t="str">
        <f aca="false">IF(B128="","",IFERROR(INDEX(Productos!$A$5:$A$104,MATCH(B128,Productos!$B$5:$B$104,0)),""))</f>
        <v/>
      </c>
      <c r="D128" s="7" t="str">
        <f aca="false">IF(B128="","",IFERROR(INDEX(Productos!$D$5:$D$104,MATCH(B128,Productos!$B$5:$B$104,0)),""))</f>
        <v/>
      </c>
      <c r="E128" s="21"/>
      <c r="F128" s="11" t="str">
        <f aca="false">IF(B128="","",IFERROR(INDEX(Productos!$F$5:$F$104,MATCH(B128,Productos!$B$5:$B$104,0)),0))</f>
        <v/>
      </c>
      <c r="G128" s="11" t="str">
        <f aca="false">IF(B128="","",E128*F128)</f>
        <v/>
      </c>
    </row>
    <row r="129" customFormat="false" ht="15" hidden="false" customHeight="false" outlineLevel="0" collapsed="false">
      <c r="A129" s="25"/>
      <c r="B129" s="20"/>
      <c r="C129" s="7" t="str">
        <f aca="false">IF(B129="","",IFERROR(INDEX(Productos!$A$5:$A$104,MATCH(B129,Productos!$B$5:$B$104,0)),""))</f>
        <v/>
      </c>
      <c r="D129" s="7" t="str">
        <f aca="false">IF(B129="","",IFERROR(INDEX(Productos!$D$5:$D$104,MATCH(B129,Productos!$B$5:$B$104,0)),""))</f>
        <v/>
      </c>
      <c r="E129" s="21"/>
      <c r="F129" s="11" t="str">
        <f aca="false">IF(B129="","",IFERROR(INDEX(Productos!$F$5:$F$104,MATCH(B129,Productos!$B$5:$B$104,0)),0))</f>
        <v/>
      </c>
      <c r="G129" s="11" t="str">
        <f aca="false">IF(B129="","",E129*F129)</f>
        <v/>
      </c>
    </row>
    <row r="130" customFormat="false" ht="15" hidden="false" customHeight="false" outlineLevel="0" collapsed="false">
      <c r="A130" s="25"/>
      <c r="B130" s="20"/>
      <c r="C130" s="7" t="str">
        <f aca="false">IF(B130="","",IFERROR(INDEX(Productos!$A$5:$A$104,MATCH(B130,Productos!$B$5:$B$104,0)),""))</f>
        <v/>
      </c>
      <c r="D130" s="7" t="str">
        <f aca="false">IF(B130="","",IFERROR(INDEX(Productos!$D$5:$D$104,MATCH(B130,Productos!$B$5:$B$104,0)),""))</f>
        <v/>
      </c>
      <c r="E130" s="21"/>
      <c r="F130" s="11" t="str">
        <f aca="false">IF(B130="","",IFERROR(INDEX(Productos!$F$5:$F$104,MATCH(B130,Productos!$B$5:$B$104,0)),0))</f>
        <v/>
      </c>
      <c r="G130" s="11" t="str">
        <f aca="false">IF(B130="","",E130*F130)</f>
        <v/>
      </c>
    </row>
    <row r="131" customFormat="false" ht="15" hidden="false" customHeight="false" outlineLevel="0" collapsed="false">
      <c r="A131" s="25"/>
      <c r="B131" s="20"/>
      <c r="C131" s="7" t="str">
        <f aca="false">IF(B131="","",IFERROR(INDEX(Productos!$A$5:$A$104,MATCH(B131,Productos!$B$5:$B$104,0)),""))</f>
        <v/>
      </c>
      <c r="D131" s="7" t="str">
        <f aca="false">IF(B131="","",IFERROR(INDEX(Productos!$D$5:$D$104,MATCH(B131,Productos!$B$5:$B$104,0)),""))</f>
        <v/>
      </c>
      <c r="E131" s="21"/>
      <c r="F131" s="11" t="str">
        <f aca="false">IF(B131="","",IFERROR(INDEX(Productos!$F$5:$F$104,MATCH(B131,Productos!$B$5:$B$104,0)),0))</f>
        <v/>
      </c>
      <c r="G131" s="11" t="str">
        <f aca="false">IF(B131="","",E131*F131)</f>
        <v/>
      </c>
    </row>
    <row r="132" customFormat="false" ht="15" hidden="false" customHeight="false" outlineLevel="0" collapsed="false">
      <c r="A132" s="25"/>
      <c r="B132" s="20"/>
      <c r="C132" s="7" t="str">
        <f aca="false">IF(B132="","",IFERROR(INDEX(Productos!$A$5:$A$104,MATCH(B132,Productos!$B$5:$B$104,0)),""))</f>
        <v/>
      </c>
      <c r="D132" s="7" t="str">
        <f aca="false">IF(B132="","",IFERROR(INDEX(Productos!$D$5:$D$104,MATCH(B132,Productos!$B$5:$B$104,0)),""))</f>
        <v/>
      </c>
      <c r="E132" s="21"/>
      <c r="F132" s="11" t="str">
        <f aca="false">IF(B132="","",IFERROR(INDEX(Productos!$F$5:$F$104,MATCH(B132,Productos!$B$5:$B$104,0)),0))</f>
        <v/>
      </c>
      <c r="G132" s="11" t="str">
        <f aca="false">IF(B132="","",E132*F132)</f>
        <v/>
      </c>
    </row>
    <row r="133" customFormat="false" ht="15" hidden="false" customHeight="false" outlineLevel="0" collapsed="false">
      <c r="A133" s="25"/>
      <c r="B133" s="20"/>
      <c r="C133" s="7" t="str">
        <f aca="false">IF(B133="","",IFERROR(INDEX(Productos!$A$5:$A$104,MATCH(B133,Productos!$B$5:$B$104,0)),""))</f>
        <v/>
      </c>
      <c r="D133" s="7" t="str">
        <f aca="false">IF(B133="","",IFERROR(INDEX(Productos!$D$5:$D$104,MATCH(B133,Productos!$B$5:$B$104,0)),""))</f>
        <v/>
      </c>
      <c r="E133" s="21"/>
      <c r="F133" s="11" t="str">
        <f aca="false">IF(B133="","",IFERROR(INDEX(Productos!$F$5:$F$104,MATCH(B133,Productos!$B$5:$B$104,0)),0))</f>
        <v/>
      </c>
      <c r="G133" s="11" t="str">
        <f aca="false">IF(B133="","",E133*F133)</f>
        <v/>
      </c>
    </row>
    <row r="134" customFormat="false" ht="15" hidden="false" customHeight="false" outlineLevel="0" collapsed="false">
      <c r="A134" s="25"/>
      <c r="B134" s="20"/>
      <c r="C134" s="7" t="str">
        <f aca="false">IF(B134="","",IFERROR(INDEX(Productos!$A$5:$A$104,MATCH(B134,Productos!$B$5:$B$104,0)),""))</f>
        <v/>
      </c>
      <c r="D134" s="7" t="str">
        <f aca="false">IF(B134="","",IFERROR(INDEX(Productos!$D$5:$D$104,MATCH(B134,Productos!$B$5:$B$104,0)),""))</f>
        <v/>
      </c>
      <c r="E134" s="21"/>
      <c r="F134" s="11" t="str">
        <f aca="false">IF(B134="","",IFERROR(INDEX(Productos!$F$5:$F$104,MATCH(B134,Productos!$B$5:$B$104,0)),0))</f>
        <v/>
      </c>
      <c r="G134" s="11" t="str">
        <f aca="false">IF(B134="","",E134*F134)</f>
        <v/>
      </c>
    </row>
    <row r="135" customFormat="false" ht="15" hidden="false" customHeight="false" outlineLevel="0" collapsed="false">
      <c r="A135" s="25"/>
      <c r="B135" s="20"/>
      <c r="C135" s="7" t="str">
        <f aca="false">IF(B135="","",IFERROR(INDEX(Productos!$A$5:$A$104,MATCH(B135,Productos!$B$5:$B$104,0)),""))</f>
        <v/>
      </c>
      <c r="D135" s="7" t="str">
        <f aca="false">IF(B135="","",IFERROR(INDEX(Productos!$D$5:$D$104,MATCH(B135,Productos!$B$5:$B$104,0)),""))</f>
        <v/>
      </c>
      <c r="E135" s="21"/>
      <c r="F135" s="11" t="str">
        <f aca="false">IF(B135="","",IFERROR(INDEX(Productos!$F$5:$F$104,MATCH(B135,Productos!$B$5:$B$104,0)),0))</f>
        <v/>
      </c>
      <c r="G135" s="11" t="str">
        <f aca="false">IF(B135="","",E135*F135)</f>
        <v/>
      </c>
    </row>
    <row r="136" customFormat="false" ht="15" hidden="false" customHeight="false" outlineLevel="0" collapsed="false">
      <c r="A136" s="25"/>
      <c r="B136" s="20"/>
      <c r="C136" s="7" t="str">
        <f aca="false">IF(B136="","",IFERROR(INDEX(Productos!$A$5:$A$104,MATCH(B136,Productos!$B$5:$B$104,0)),""))</f>
        <v/>
      </c>
      <c r="D136" s="7" t="str">
        <f aca="false">IF(B136="","",IFERROR(INDEX(Productos!$D$5:$D$104,MATCH(B136,Productos!$B$5:$B$104,0)),""))</f>
        <v/>
      </c>
      <c r="E136" s="21"/>
      <c r="F136" s="11" t="str">
        <f aca="false">IF(B136="","",IFERROR(INDEX(Productos!$F$5:$F$104,MATCH(B136,Productos!$B$5:$B$104,0)),0))</f>
        <v/>
      </c>
      <c r="G136" s="11" t="str">
        <f aca="false">IF(B136="","",E136*F136)</f>
        <v/>
      </c>
    </row>
    <row r="137" customFormat="false" ht="15" hidden="false" customHeight="false" outlineLevel="0" collapsed="false">
      <c r="A137" s="25"/>
      <c r="B137" s="20"/>
      <c r="C137" s="7" t="str">
        <f aca="false">IF(B137="","",IFERROR(INDEX(Productos!$A$5:$A$104,MATCH(B137,Productos!$B$5:$B$104,0)),""))</f>
        <v/>
      </c>
      <c r="D137" s="7" t="str">
        <f aca="false">IF(B137="","",IFERROR(INDEX(Productos!$D$5:$D$104,MATCH(B137,Productos!$B$5:$B$104,0)),""))</f>
        <v/>
      </c>
      <c r="E137" s="21"/>
      <c r="F137" s="11" t="str">
        <f aca="false">IF(B137="","",IFERROR(INDEX(Productos!$F$5:$F$104,MATCH(B137,Productos!$B$5:$B$104,0)),0))</f>
        <v/>
      </c>
      <c r="G137" s="11" t="str">
        <f aca="false">IF(B137="","",E137*F137)</f>
        <v/>
      </c>
    </row>
    <row r="138" customFormat="false" ht="15" hidden="false" customHeight="false" outlineLevel="0" collapsed="false">
      <c r="A138" s="25"/>
      <c r="B138" s="20"/>
      <c r="C138" s="7" t="str">
        <f aca="false">IF(B138="","",IFERROR(INDEX(Productos!$A$5:$A$104,MATCH(B138,Productos!$B$5:$B$104,0)),""))</f>
        <v/>
      </c>
      <c r="D138" s="7" t="str">
        <f aca="false">IF(B138="","",IFERROR(INDEX(Productos!$D$5:$D$104,MATCH(B138,Productos!$B$5:$B$104,0)),""))</f>
        <v/>
      </c>
      <c r="E138" s="21"/>
      <c r="F138" s="11" t="str">
        <f aca="false">IF(B138="","",IFERROR(INDEX(Productos!$F$5:$F$104,MATCH(B138,Productos!$B$5:$B$104,0)),0))</f>
        <v/>
      </c>
      <c r="G138" s="11" t="str">
        <f aca="false">IF(B138="","",E138*F138)</f>
        <v/>
      </c>
    </row>
    <row r="139" customFormat="false" ht="15" hidden="false" customHeight="false" outlineLevel="0" collapsed="false">
      <c r="A139" s="25"/>
      <c r="B139" s="20"/>
      <c r="C139" s="7" t="str">
        <f aca="false">IF(B139="","",IFERROR(INDEX(Productos!$A$5:$A$104,MATCH(B139,Productos!$B$5:$B$104,0)),""))</f>
        <v/>
      </c>
      <c r="D139" s="7" t="str">
        <f aca="false">IF(B139="","",IFERROR(INDEX(Productos!$D$5:$D$104,MATCH(B139,Productos!$B$5:$B$104,0)),""))</f>
        <v/>
      </c>
      <c r="E139" s="21"/>
      <c r="F139" s="11" t="str">
        <f aca="false">IF(B139="","",IFERROR(INDEX(Productos!$F$5:$F$104,MATCH(B139,Productos!$B$5:$B$104,0)),0))</f>
        <v/>
      </c>
      <c r="G139" s="11" t="str">
        <f aca="false">IF(B139="","",E139*F139)</f>
        <v/>
      </c>
    </row>
    <row r="140" customFormat="false" ht="15" hidden="false" customHeight="false" outlineLevel="0" collapsed="false">
      <c r="A140" s="25"/>
      <c r="B140" s="20"/>
      <c r="C140" s="7" t="str">
        <f aca="false">IF(B140="","",IFERROR(INDEX(Productos!$A$5:$A$104,MATCH(B140,Productos!$B$5:$B$104,0)),""))</f>
        <v/>
      </c>
      <c r="D140" s="7" t="str">
        <f aca="false">IF(B140="","",IFERROR(INDEX(Productos!$D$5:$D$104,MATCH(B140,Productos!$B$5:$B$104,0)),""))</f>
        <v/>
      </c>
      <c r="E140" s="21"/>
      <c r="F140" s="11" t="str">
        <f aca="false">IF(B140="","",IFERROR(INDEX(Productos!$F$5:$F$104,MATCH(B140,Productos!$B$5:$B$104,0)),0))</f>
        <v/>
      </c>
      <c r="G140" s="11" t="str">
        <f aca="false">IF(B140="","",E140*F140)</f>
        <v/>
      </c>
    </row>
    <row r="141" customFormat="false" ht="15" hidden="false" customHeight="false" outlineLevel="0" collapsed="false">
      <c r="A141" s="25"/>
      <c r="B141" s="20"/>
      <c r="C141" s="7" t="str">
        <f aca="false">IF(B141="","",IFERROR(INDEX(Productos!$A$5:$A$104,MATCH(B141,Productos!$B$5:$B$104,0)),""))</f>
        <v/>
      </c>
      <c r="D141" s="7" t="str">
        <f aca="false">IF(B141="","",IFERROR(INDEX(Productos!$D$5:$D$104,MATCH(B141,Productos!$B$5:$B$104,0)),""))</f>
        <v/>
      </c>
      <c r="E141" s="21"/>
      <c r="F141" s="11" t="str">
        <f aca="false">IF(B141="","",IFERROR(INDEX(Productos!$F$5:$F$104,MATCH(B141,Productos!$B$5:$B$104,0)),0))</f>
        <v/>
      </c>
      <c r="G141" s="11" t="str">
        <f aca="false">IF(B141="","",E141*F141)</f>
        <v/>
      </c>
    </row>
    <row r="142" customFormat="false" ht="15" hidden="false" customHeight="false" outlineLevel="0" collapsed="false">
      <c r="A142" s="25"/>
      <c r="B142" s="20"/>
      <c r="C142" s="7" t="str">
        <f aca="false">IF(B142="","",IFERROR(INDEX(Productos!$A$5:$A$104,MATCH(B142,Productos!$B$5:$B$104,0)),""))</f>
        <v/>
      </c>
      <c r="D142" s="7" t="str">
        <f aca="false">IF(B142="","",IFERROR(INDEX(Productos!$D$5:$D$104,MATCH(B142,Productos!$B$5:$B$104,0)),""))</f>
        <v/>
      </c>
      <c r="E142" s="21"/>
      <c r="F142" s="11" t="str">
        <f aca="false">IF(B142="","",IFERROR(INDEX(Productos!$F$5:$F$104,MATCH(B142,Productos!$B$5:$B$104,0)),0))</f>
        <v/>
      </c>
      <c r="G142" s="11" t="str">
        <f aca="false">IF(B142="","",E142*F142)</f>
        <v/>
      </c>
    </row>
    <row r="143" customFormat="false" ht="15" hidden="false" customHeight="false" outlineLevel="0" collapsed="false">
      <c r="A143" s="25"/>
      <c r="B143" s="20"/>
      <c r="C143" s="7" t="str">
        <f aca="false">IF(B143="","",IFERROR(INDEX(Productos!$A$5:$A$104,MATCH(B143,Productos!$B$5:$B$104,0)),""))</f>
        <v/>
      </c>
      <c r="D143" s="7" t="str">
        <f aca="false">IF(B143="","",IFERROR(INDEX(Productos!$D$5:$D$104,MATCH(B143,Productos!$B$5:$B$104,0)),""))</f>
        <v/>
      </c>
      <c r="E143" s="21"/>
      <c r="F143" s="11" t="str">
        <f aca="false">IF(B143="","",IFERROR(INDEX(Productos!$F$5:$F$104,MATCH(B143,Productos!$B$5:$B$104,0)),0))</f>
        <v/>
      </c>
      <c r="G143" s="11" t="str">
        <f aca="false">IF(B143="","",E143*F143)</f>
        <v/>
      </c>
    </row>
    <row r="144" customFormat="false" ht="15" hidden="false" customHeight="false" outlineLevel="0" collapsed="false">
      <c r="A144" s="25"/>
      <c r="B144" s="20"/>
      <c r="C144" s="7" t="str">
        <f aca="false">IF(B144="","",IFERROR(INDEX(Productos!$A$5:$A$104,MATCH(B144,Productos!$B$5:$B$104,0)),""))</f>
        <v/>
      </c>
      <c r="D144" s="7" t="str">
        <f aca="false">IF(B144="","",IFERROR(INDEX(Productos!$D$5:$D$104,MATCH(B144,Productos!$B$5:$B$104,0)),""))</f>
        <v/>
      </c>
      <c r="E144" s="21"/>
      <c r="F144" s="11" t="str">
        <f aca="false">IF(B144="","",IFERROR(INDEX(Productos!$F$5:$F$104,MATCH(B144,Productos!$B$5:$B$104,0)),0))</f>
        <v/>
      </c>
      <c r="G144" s="11" t="str">
        <f aca="false">IF(B144="","",E144*F144)</f>
        <v/>
      </c>
    </row>
    <row r="145" customFormat="false" ht="15" hidden="false" customHeight="false" outlineLevel="0" collapsed="false">
      <c r="A145" s="25"/>
      <c r="B145" s="20"/>
      <c r="C145" s="7" t="str">
        <f aca="false">IF(B145="","",IFERROR(INDEX(Productos!$A$5:$A$104,MATCH(B145,Productos!$B$5:$B$104,0)),""))</f>
        <v/>
      </c>
      <c r="D145" s="7" t="str">
        <f aca="false">IF(B145="","",IFERROR(INDEX(Productos!$D$5:$D$104,MATCH(B145,Productos!$B$5:$B$104,0)),""))</f>
        <v/>
      </c>
      <c r="E145" s="21"/>
      <c r="F145" s="11" t="str">
        <f aca="false">IF(B145="","",IFERROR(INDEX(Productos!$F$5:$F$104,MATCH(B145,Productos!$B$5:$B$104,0)),0))</f>
        <v/>
      </c>
      <c r="G145" s="11" t="str">
        <f aca="false">IF(B145="","",E145*F145)</f>
        <v/>
      </c>
    </row>
    <row r="146" customFormat="false" ht="15" hidden="false" customHeight="false" outlineLevel="0" collapsed="false">
      <c r="A146" s="25"/>
      <c r="B146" s="20"/>
      <c r="C146" s="7" t="str">
        <f aca="false">IF(B146="","",IFERROR(INDEX(Productos!$A$5:$A$104,MATCH(B146,Productos!$B$5:$B$104,0)),""))</f>
        <v/>
      </c>
      <c r="D146" s="7" t="str">
        <f aca="false">IF(B146="","",IFERROR(INDEX(Productos!$D$5:$D$104,MATCH(B146,Productos!$B$5:$B$104,0)),""))</f>
        <v/>
      </c>
      <c r="E146" s="21"/>
      <c r="F146" s="11" t="str">
        <f aca="false">IF(B146="","",IFERROR(INDEX(Productos!$F$5:$F$104,MATCH(B146,Productos!$B$5:$B$104,0)),0))</f>
        <v/>
      </c>
      <c r="G146" s="11" t="str">
        <f aca="false">IF(B146="","",E146*F146)</f>
        <v/>
      </c>
    </row>
    <row r="147" customFormat="false" ht="15" hidden="false" customHeight="false" outlineLevel="0" collapsed="false">
      <c r="A147" s="25"/>
      <c r="B147" s="20"/>
      <c r="C147" s="7" t="str">
        <f aca="false">IF(B147="","",IFERROR(INDEX(Productos!$A$5:$A$104,MATCH(B147,Productos!$B$5:$B$104,0)),""))</f>
        <v/>
      </c>
      <c r="D147" s="7" t="str">
        <f aca="false">IF(B147="","",IFERROR(INDEX(Productos!$D$5:$D$104,MATCH(B147,Productos!$B$5:$B$104,0)),""))</f>
        <v/>
      </c>
      <c r="E147" s="21"/>
      <c r="F147" s="11" t="str">
        <f aca="false">IF(B147="","",IFERROR(INDEX(Productos!$F$5:$F$104,MATCH(B147,Productos!$B$5:$B$104,0)),0))</f>
        <v/>
      </c>
      <c r="G147" s="11" t="str">
        <f aca="false">IF(B147="","",E147*F147)</f>
        <v/>
      </c>
    </row>
    <row r="148" customFormat="false" ht="15" hidden="false" customHeight="false" outlineLevel="0" collapsed="false">
      <c r="A148" s="25"/>
      <c r="B148" s="20"/>
      <c r="C148" s="7" t="str">
        <f aca="false">IF(B148="","",IFERROR(INDEX(Productos!$A$5:$A$104,MATCH(B148,Productos!$B$5:$B$104,0)),""))</f>
        <v/>
      </c>
      <c r="D148" s="7" t="str">
        <f aca="false">IF(B148="","",IFERROR(INDEX(Productos!$D$5:$D$104,MATCH(B148,Productos!$B$5:$B$104,0)),""))</f>
        <v/>
      </c>
      <c r="E148" s="21"/>
      <c r="F148" s="11" t="str">
        <f aca="false">IF(B148="","",IFERROR(INDEX(Productos!$F$5:$F$104,MATCH(B148,Productos!$B$5:$B$104,0)),0))</f>
        <v/>
      </c>
      <c r="G148" s="11" t="str">
        <f aca="false">IF(B148="","",E148*F148)</f>
        <v/>
      </c>
    </row>
    <row r="149" customFormat="false" ht="15" hidden="false" customHeight="false" outlineLevel="0" collapsed="false">
      <c r="A149" s="25"/>
      <c r="B149" s="20"/>
      <c r="C149" s="7" t="str">
        <f aca="false">IF(B149="","",IFERROR(INDEX(Productos!$A$5:$A$104,MATCH(B149,Productos!$B$5:$B$104,0)),""))</f>
        <v/>
      </c>
      <c r="D149" s="7" t="str">
        <f aca="false">IF(B149="","",IFERROR(INDEX(Productos!$D$5:$D$104,MATCH(B149,Productos!$B$5:$B$104,0)),""))</f>
        <v/>
      </c>
      <c r="E149" s="21"/>
      <c r="F149" s="11" t="str">
        <f aca="false">IF(B149="","",IFERROR(INDEX(Productos!$F$5:$F$104,MATCH(B149,Productos!$B$5:$B$104,0)),0))</f>
        <v/>
      </c>
      <c r="G149" s="11" t="str">
        <f aca="false">IF(B149="","",E149*F149)</f>
        <v/>
      </c>
    </row>
    <row r="150" customFormat="false" ht="15" hidden="false" customHeight="false" outlineLevel="0" collapsed="false">
      <c r="A150" s="25"/>
      <c r="B150" s="20"/>
      <c r="C150" s="7" t="str">
        <f aca="false">IF(B150="","",IFERROR(INDEX(Productos!$A$5:$A$104,MATCH(B150,Productos!$B$5:$B$104,0)),""))</f>
        <v/>
      </c>
      <c r="D150" s="7" t="str">
        <f aca="false">IF(B150="","",IFERROR(INDEX(Productos!$D$5:$D$104,MATCH(B150,Productos!$B$5:$B$104,0)),""))</f>
        <v/>
      </c>
      <c r="E150" s="21"/>
      <c r="F150" s="11" t="str">
        <f aca="false">IF(B150="","",IFERROR(INDEX(Productos!$F$5:$F$104,MATCH(B150,Productos!$B$5:$B$104,0)),0))</f>
        <v/>
      </c>
      <c r="G150" s="11" t="str">
        <f aca="false">IF(B150="","",E150*F150)</f>
        <v/>
      </c>
    </row>
    <row r="151" customFormat="false" ht="15" hidden="false" customHeight="false" outlineLevel="0" collapsed="false">
      <c r="A151" s="25"/>
      <c r="B151" s="20"/>
      <c r="C151" s="7" t="str">
        <f aca="false">IF(B151="","",IFERROR(INDEX(Productos!$A$5:$A$104,MATCH(B151,Productos!$B$5:$B$104,0)),""))</f>
        <v/>
      </c>
      <c r="D151" s="7" t="str">
        <f aca="false">IF(B151="","",IFERROR(INDEX(Productos!$D$5:$D$104,MATCH(B151,Productos!$B$5:$B$104,0)),""))</f>
        <v/>
      </c>
      <c r="E151" s="21"/>
      <c r="F151" s="11" t="str">
        <f aca="false">IF(B151="","",IFERROR(INDEX(Productos!$F$5:$F$104,MATCH(B151,Productos!$B$5:$B$104,0)),0))</f>
        <v/>
      </c>
      <c r="G151" s="11" t="str">
        <f aca="false">IF(B151="","",E151*F151)</f>
        <v/>
      </c>
    </row>
    <row r="152" customFormat="false" ht="15" hidden="false" customHeight="false" outlineLevel="0" collapsed="false">
      <c r="A152" s="25"/>
      <c r="B152" s="20"/>
      <c r="C152" s="7" t="str">
        <f aca="false">IF(B152="","",IFERROR(INDEX(Productos!$A$5:$A$104,MATCH(B152,Productos!$B$5:$B$104,0)),""))</f>
        <v/>
      </c>
      <c r="D152" s="7" t="str">
        <f aca="false">IF(B152="","",IFERROR(INDEX(Productos!$D$5:$D$104,MATCH(B152,Productos!$B$5:$B$104,0)),""))</f>
        <v/>
      </c>
      <c r="E152" s="21"/>
      <c r="F152" s="11" t="str">
        <f aca="false">IF(B152="","",IFERROR(INDEX(Productos!$F$5:$F$104,MATCH(B152,Productos!$B$5:$B$104,0)),0))</f>
        <v/>
      </c>
      <c r="G152" s="11" t="str">
        <f aca="false">IF(B152="","",E152*F152)</f>
        <v/>
      </c>
    </row>
    <row r="153" customFormat="false" ht="15" hidden="false" customHeight="false" outlineLevel="0" collapsed="false">
      <c r="A153" s="25"/>
      <c r="B153" s="20"/>
      <c r="C153" s="7" t="str">
        <f aca="false">IF(B153="","",IFERROR(INDEX(Productos!$A$5:$A$104,MATCH(B153,Productos!$B$5:$B$104,0)),""))</f>
        <v/>
      </c>
      <c r="D153" s="7" t="str">
        <f aca="false">IF(B153="","",IFERROR(INDEX(Productos!$D$5:$D$104,MATCH(B153,Productos!$B$5:$B$104,0)),""))</f>
        <v/>
      </c>
      <c r="E153" s="21"/>
      <c r="F153" s="11" t="str">
        <f aca="false">IF(B153="","",IFERROR(INDEX(Productos!$F$5:$F$104,MATCH(B153,Productos!$B$5:$B$104,0)),0))</f>
        <v/>
      </c>
      <c r="G153" s="11" t="str">
        <f aca="false">IF(B153="","",E153*F153)</f>
        <v/>
      </c>
    </row>
    <row r="154" customFormat="false" ht="15" hidden="false" customHeight="false" outlineLevel="0" collapsed="false">
      <c r="A154" s="25"/>
      <c r="B154" s="20"/>
      <c r="C154" s="7" t="str">
        <f aca="false">IF(B154="","",IFERROR(INDEX(Productos!$A$5:$A$104,MATCH(B154,Productos!$B$5:$B$104,0)),""))</f>
        <v/>
      </c>
      <c r="D154" s="7" t="str">
        <f aca="false">IF(B154="","",IFERROR(INDEX(Productos!$D$5:$D$104,MATCH(B154,Productos!$B$5:$B$104,0)),""))</f>
        <v/>
      </c>
      <c r="E154" s="21"/>
      <c r="F154" s="11" t="str">
        <f aca="false">IF(B154="","",IFERROR(INDEX(Productos!$F$5:$F$104,MATCH(B154,Productos!$B$5:$B$104,0)),0))</f>
        <v/>
      </c>
      <c r="G154" s="11" t="str">
        <f aca="false">IF(B154="","",E154*F154)</f>
        <v/>
      </c>
    </row>
    <row r="155" customFormat="false" ht="15" hidden="false" customHeight="false" outlineLevel="0" collapsed="false">
      <c r="A155" s="25"/>
      <c r="B155" s="20"/>
      <c r="C155" s="7" t="str">
        <f aca="false">IF(B155="","",IFERROR(INDEX(Productos!$A$5:$A$104,MATCH(B155,Productos!$B$5:$B$104,0)),""))</f>
        <v/>
      </c>
      <c r="D155" s="7" t="str">
        <f aca="false">IF(B155="","",IFERROR(INDEX(Productos!$D$5:$D$104,MATCH(B155,Productos!$B$5:$B$104,0)),""))</f>
        <v/>
      </c>
      <c r="E155" s="21"/>
      <c r="F155" s="11" t="str">
        <f aca="false">IF(B155="","",IFERROR(INDEX(Productos!$F$5:$F$104,MATCH(B155,Productos!$B$5:$B$104,0)),0))</f>
        <v/>
      </c>
      <c r="G155" s="11" t="str">
        <f aca="false">IF(B155="","",E155*F155)</f>
        <v/>
      </c>
    </row>
    <row r="156" customFormat="false" ht="15" hidden="false" customHeight="false" outlineLevel="0" collapsed="false">
      <c r="A156" s="25"/>
      <c r="B156" s="20"/>
      <c r="C156" s="7" t="str">
        <f aca="false">IF(B156="","",IFERROR(INDEX(Productos!$A$5:$A$104,MATCH(B156,Productos!$B$5:$B$104,0)),""))</f>
        <v/>
      </c>
      <c r="D156" s="7" t="str">
        <f aca="false">IF(B156="","",IFERROR(INDEX(Productos!$D$5:$D$104,MATCH(B156,Productos!$B$5:$B$104,0)),""))</f>
        <v/>
      </c>
      <c r="E156" s="21"/>
      <c r="F156" s="11" t="str">
        <f aca="false">IF(B156="","",IFERROR(INDEX(Productos!$F$5:$F$104,MATCH(B156,Productos!$B$5:$B$104,0)),0))</f>
        <v/>
      </c>
      <c r="G156" s="11" t="str">
        <f aca="false">IF(B156="","",E156*F156)</f>
        <v/>
      </c>
    </row>
    <row r="157" customFormat="false" ht="15" hidden="false" customHeight="false" outlineLevel="0" collapsed="false">
      <c r="A157" s="25"/>
      <c r="B157" s="20"/>
      <c r="C157" s="7" t="str">
        <f aca="false">IF(B157="","",IFERROR(INDEX(Productos!$A$5:$A$104,MATCH(B157,Productos!$B$5:$B$104,0)),""))</f>
        <v/>
      </c>
      <c r="D157" s="7" t="str">
        <f aca="false">IF(B157="","",IFERROR(INDEX(Productos!$D$5:$D$104,MATCH(B157,Productos!$B$5:$B$104,0)),""))</f>
        <v/>
      </c>
      <c r="E157" s="21"/>
      <c r="F157" s="11" t="str">
        <f aca="false">IF(B157="","",IFERROR(INDEX(Productos!$F$5:$F$104,MATCH(B157,Productos!$B$5:$B$104,0)),0))</f>
        <v/>
      </c>
      <c r="G157" s="11" t="str">
        <f aca="false">IF(B157="","",E157*F157)</f>
        <v/>
      </c>
    </row>
    <row r="158" customFormat="false" ht="15" hidden="false" customHeight="false" outlineLevel="0" collapsed="false">
      <c r="A158" s="25"/>
      <c r="B158" s="20"/>
      <c r="C158" s="7" t="str">
        <f aca="false">IF(B158="","",IFERROR(INDEX(Productos!$A$5:$A$104,MATCH(B158,Productos!$B$5:$B$104,0)),""))</f>
        <v/>
      </c>
      <c r="D158" s="7" t="str">
        <f aca="false">IF(B158="","",IFERROR(INDEX(Productos!$D$5:$D$104,MATCH(B158,Productos!$B$5:$B$104,0)),""))</f>
        <v/>
      </c>
      <c r="E158" s="21"/>
      <c r="F158" s="11" t="str">
        <f aca="false">IF(B158="","",IFERROR(INDEX(Productos!$F$5:$F$104,MATCH(B158,Productos!$B$5:$B$104,0)),0))</f>
        <v/>
      </c>
      <c r="G158" s="11" t="str">
        <f aca="false">IF(B158="","",E158*F158)</f>
        <v/>
      </c>
    </row>
    <row r="159" customFormat="false" ht="15" hidden="false" customHeight="false" outlineLevel="0" collapsed="false">
      <c r="A159" s="25"/>
      <c r="B159" s="20"/>
      <c r="C159" s="7" t="str">
        <f aca="false">IF(B159="","",IFERROR(INDEX(Productos!$A$5:$A$104,MATCH(B159,Productos!$B$5:$B$104,0)),""))</f>
        <v/>
      </c>
      <c r="D159" s="7" t="str">
        <f aca="false">IF(B159="","",IFERROR(INDEX(Productos!$D$5:$D$104,MATCH(B159,Productos!$B$5:$B$104,0)),""))</f>
        <v/>
      </c>
      <c r="E159" s="21"/>
      <c r="F159" s="11" t="str">
        <f aca="false">IF(B159="","",IFERROR(INDEX(Productos!$F$5:$F$104,MATCH(B159,Productos!$B$5:$B$104,0)),0))</f>
        <v/>
      </c>
      <c r="G159" s="11" t="str">
        <f aca="false">IF(B159="","",E159*F159)</f>
        <v/>
      </c>
    </row>
    <row r="160" customFormat="false" ht="15" hidden="false" customHeight="false" outlineLevel="0" collapsed="false">
      <c r="A160" s="25"/>
      <c r="B160" s="20"/>
      <c r="C160" s="7" t="str">
        <f aca="false">IF(B160="","",IFERROR(INDEX(Productos!$A$5:$A$104,MATCH(B160,Productos!$B$5:$B$104,0)),""))</f>
        <v/>
      </c>
      <c r="D160" s="7" t="str">
        <f aca="false">IF(B160="","",IFERROR(INDEX(Productos!$D$5:$D$104,MATCH(B160,Productos!$B$5:$B$104,0)),""))</f>
        <v/>
      </c>
      <c r="E160" s="21"/>
      <c r="F160" s="11" t="str">
        <f aca="false">IF(B160="","",IFERROR(INDEX(Productos!$F$5:$F$104,MATCH(B160,Productos!$B$5:$B$104,0)),0))</f>
        <v/>
      </c>
      <c r="G160" s="11" t="str">
        <f aca="false">IF(B160="","",E160*F160)</f>
        <v/>
      </c>
    </row>
    <row r="161" customFormat="false" ht="15" hidden="false" customHeight="false" outlineLevel="0" collapsed="false">
      <c r="A161" s="25"/>
      <c r="B161" s="20"/>
      <c r="C161" s="7" t="str">
        <f aca="false">IF(B161="","",IFERROR(INDEX(Productos!$A$5:$A$104,MATCH(B161,Productos!$B$5:$B$104,0)),""))</f>
        <v/>
      </c>
      <c r="D161" s="7" t="str">
        <f aca="false">IF(B161="","",IFERROR(INDEX(Productos!$D$5:$D$104,MATCH(B161,Productos!$B$5:$B$104,0)),""))</f>
        <v/>
      </c>
      <c r="E161" s="21"/>
      <c r="F161" s="11" t="str">
        <f aca="false">IF(B161="","",IFERROR(INDEX(Productos!$F$5:$F$104,MATCH(B161,Productos!$B$5:$B$104,0)),0))</f>
        <v/>
      </c>
      <c r="G161" s="11" t="str">
        <f aca="false">IF(B161="","",E161*F161)</f>
        <v/>
      </c>
    </row>
    <row r="162" customFormat="false" ht="15" hidden="false" customHeight="false" outlineLevel="0" collapsed="false">
      <c r="A162" s="25"/>
      <c r="B162" s="20"/>
      <c r="C162" s="7" t="str">
        <f aca="false">IF(B162="","",IFERROR(INDEX(Productos!$A$5:$A$104,MATCH(B162,Productos!$B$5:$B$104,0)),""))</f>
        <v/>
      </c>
      <c r="D162" s="7" t="str">
        <f aca="false">IF(B162="","",IFERROR(INDEX(Productos!$D$5:$D$104,MATCH(B162,Productos!$B$5:$B$104,0)),""))</f>
        <v/>
      </c>
      <c r="E162" s="21"/>
      <c r="F162" s="11" t="str">
        <f aca="false">IF(B162="","",IFERROR(INDEX(Productos!$F$5:$F$104,MATCH(B162,Productos!$B$5:$B$104,0)),0))</f>
        <v/>
      </c>
      <c r="G162" s="11" t="str">
        <f aca="false">IF(B162="","",E162*F162)</f>
        <v/>
      </c>
    </row>
    <row r="163" customFormat="false" ht="15" hidden="false" customHeight="false" outlineLevel="0" collapsed="false">
      <c r="A163" s="25"/>
      <c r="B163" s="20"/>
      <c r="C163" s="7" t="str">
        <f aca="false">IF(B163="","",IFERROR(INDEX(Productos!$A$5:$A$104,MATCH(B163,Productos!$B$5:$B$104,0)),""))</f>
        <v/>
      </c>
      <c r="D163" s="7" t="str">
        <f aca="false">IF(B163="","",IFERROR(INDEX(Productos!$D$5:$D$104,MATCH(B163,Productos!$B$5:$B$104,0)),""))</f>
        <v/>
      </c>
      <c r="E163" s="21"/>
      <c r="F163" s="11" t="str">
        <f aca="false">IF(B163="","",IFERROR(INDEX(Productos!$F$5:$F$104,MATCH(B163,Productos!$B$5:$B$104,0)),0))</f>
        <v/>
      </c>
      <c r="G163" s="11" t="str">
        <f aca="false">IF(B163="","",E163*F163)</f>
        <v/>
      </c>
    </row>
    <row r="164" customFormat="false" ht="15" hidden="false" customHeight="false" outlineLevel="0" collapsed="false">
      <c r="A164" s="25"/>
      <c r="B164" s="20"/>
      <c r="C164" s="7" t="str">
        <f aca="false">IF(B164="","",IFERROR(INDEX(Productos!$A$5:$A$104,MATCH(B164,Productos!$B$5:$B$104,0)),""))</f>
        <v/>
      </c>
      <c r="D164" s="7" t="str">
        <f aca="false">IF(B164="","",IFERROR(INDEX(Productos!$D$5:$D$104,MATCH(B164,Productos!$B$5:$B$104,0)),""))</f>
        <v/>
      </c>
      <c r="E164" s="21"/>
      <c r="F164" s="11" t="str">
        <f aca="false">IF(B164="","",IFERROR(INDEX(Productos!$F$5:$F$104,MATCH(B164,Productos!$B$5:$B$104,0)),0))</f>
        <v/>
      </c>
      <c r="G164" s="11" t="str">
        <f aca="false">IF(B164="","",E164*F164)</f>
        <v/>
      </c>
    </row>
    <row r="165" customFormat="false" ht="15" hidden="false" customHeight="false" outlineLevel="0" collapsed="false">
      <c r="A165" s="25"/>
      <c r="B165" s="20"/>
      <c r="C165" s="7" t="str">
        <f aca="false">IF(B165="","",IFERROR(INDEX(Productos!$A$5:$A$104,MATCH(B165,Productos!$B$5:$B$104,0)),""))</f>
        <v/>
      </c>
      <c r="D165" s="7" t="str">
        <f aca="false">IF(B165="","",IFERROR(INDEX(Productos!$D$5:$D$104,MATCH(B165,Productos!$B$5:$B$104,0)),""))</f>
        <v/>
      </c>
      <c r="E165" s="21"/>
      <c r="F165" s="11" t="str">
        <f aca="false">IF(B165="","",IFERROR(INDEX(Productos!$F$5:$F$104,MATCH(B165,Productos!$B$5:$B$104,0)),0))</f>
        <v/>
      </c>
      <c r="G165" s="11" t="str">
        <f aca="false">IF(B165="","",E165*F165)</f>
        <v/>
      </c>
    </row>
    <row r="166" customFormat="false" ht="15" hidden="false" customHeight="false" outlineLevel="0" collapsed="false">
      <c r="A166" s="25"/>
      <c r="B166" s="20"/>
      <c r="C166" s="7" t="str">
        <f aca="false">IF(B166="","",IFERROR(INDEX(Productos!$A$5:$A$104,MATCH(B166,Productos!$B$5:$B$104,0)),""))</f>
        <v/>
      </c>
      <c r="D166" s="7" t="str">
        <f aca="false">IF(B166="","",IFERROR(INDEX(Productos!$D$5:$D$104,MATCH(B166,Productos!$B$5:$B$104,0)),""))</f>
        <v/>
      </c>
      <c r="E166" s="21"/>
      <c r="F166" s="11" t="str">
        <f aca="false">IF(B166="","",IFERROR(INDEX(Productos!$F$5:$F$104,MATCH(B166,Productos!$B$5:$B$104,0)),0))</f>
        <v/>
      </c>
      <c r="G166" s="11" t="str">
        <f aca="false">IF(B166="","",E166*F166)</f>
        <v/>
      </c>
    </row>
    <row r="167" customFormat="false" ht="15" hidden="false" customHeight="false" outlineLevel="0" collapsed="false">
      <c r="A167" s="25"/>
      <c r="B167" s="20"/>
      <c r="C167" s="7" t="str">
        <f aca="false">IF(B167="","",IFERROR(INDEX(Productos!$A$5:$A$104,MATCH(B167,Productos!$B$5:$B$104,0)),""))</f>
        <v/>
      </c>
      <c r="D167" s="7" t="str">
        <f aca="false">IF(B167="","",IFERROR(INDEX(Productos!$D$5:$D$104,MATCH(B167,Productos!$B$5:$B$104,0)),""))</f>
        <v/>
      </c>
      <c r="E167" s="21"/>
      <c r="F167" s="11" t="str">
        <f aca="false">IF(B167="","",IFERROR(INDEX(Productos!$F$5:$F$104,MATCH(B167,Productos!$B$5:$B$104,0)),0))</f>
        <v/>
      </c>
      <c r="G167" s="11" t="str">
        <f aca="false">IF(B167="","",E167*F167)</f>
        <v/>
      </c>
    </row>
    <row r="168" customFormat="false" ht="15" hidden="false" customHeight="false" outlineLevel="0" collapsed="false">
      <c r="A168" s="25"/>
      <c r="B168" s="20"/>
      <c r="C168" s="7" t="str">
        <f aca="false">IF(B168="","",IFERROR(INDEX(Productos!$A$5:$A$104,MATCH(B168,Productos!$B$5:$B$104,0)),""))</f>
        <v/>
      </c>
      <c r="D168" s="7" t="str">
        <f aca="false">IF(B168="","",IFERROR(INDEX(Productos!$D$5:$D$104,MATCH(B168,Productos!$B$5:$B$104,0)),""))</f>
        <v/>
      </c>
      <c r="E168" s="21"/>
      <c r="F168" s="11" t="str">
        <f aca="false">IF(B168="","",IFERROR(INDEX(Productos!$F$5:$F$104,MATCH(B168,Productos!$B$5:$B$104,0)),0))</f>
        <v/>
      </c>
      <c r="G168" s="11" t="str">
        <f aca="false">IF(B168="","",E168*F168)</f>
        <v/>
      </c>
    </row>
    <row r="169" customFormat="false" ht="15" hidden="false" customHeight="false" outlineLevel="0" collapsed="false">
      <c r="A169" s="25"/>
      <c r="B169" s="20"/>
      <c r="C169" s="7" t="str">
        <f aca="false">IF(B169="","",IFERROR(INDEX(Productos!$A$5:$A$104,MATCH(B169,Productos!$B$5:$B$104,0)),""))</f>
        <v/>
      </c>
      <c r="D169" s="7" t="str">
        <f aca="false">IF(B169="","",IFERROR(INDEX(Productos!$D$5:$D$104,MATCH(B169,Productos!$B$5:$B$104,0)),""))</f>
        <v/>
      </c>
      <c r="E169" s="21"/>
      <c r="F169" s="11" t="str">
        <f aca="false">IF(B169="","",IFERROR(INDEX(Productos!$F$5:$F$104,MATCH(B169,Productos!$B$5:$B$104,0)),0))</f>
        <v/>
      </c>
      <c r="G169" s="11" t="str">
        <f aca="false">IF(B169="","",E169*F169)</f>
        <v/>
      </c>
    </row>
    <row r="170" customFormat="false" ht="15" hidden="false" customHeight="false" outlineLevel="0" collapsed="false">
      <c r="A170" s="25"/>
      <c r="B170" s="20"/>
      <c r="C170" s="7" t="str">
        <f aca="false">IF(B170="","",IFERROR(INDEX(Productos!$A$5:$A$104,MATCH(B170,Productos!$B$5:$B$104,0)),""))</f>
        <v/>
      </c>
      <c r="D170" s="7" t="str">
        <f aca="false">IF(B170="","",IFERROR(INDEX(Productos!$D$5:$D$104,MATCH(B170,Productos!$B$5:$B$104,0)),""))</f>
        <v/>
      </c>
      <c r="E170" s="21"/>
      <c r="F170" s="11" t="str">
        <f aca="false">IF(B170="","",IFERROR(INDEX(Productos!$F$5:$F$104,MATCH(B170,Productos!$B$5:$B$104,0)),0))</f>
        <v/>
      </c>
      <c r="G170" s="11" t="str">
        <f aca="false">IF(B170="","",E170*F170)</f>
        <v/>
      </c>
    </row>
    <row r="171" customFormat="false" ht="15" hidden="false" customHeight="false" outlineLevel="0" collapsed="false">
      <c r="A171" s="25"/>
      <c r="B171" s="20"/>
      <c r="C171" s="7" t="str">
        <f aca="false">IF(B171="","",IFERROR(INDEX(Productos!$A$5:$A$104,MATCH(B171,Productos!$B$5:$B$104,0)),""))</f>
        <v/>
      </c>
      <c r="D171" s="7" t="str">
        <f aca="false">IF(B171="","",IFERROR(INDEX(Productos!$D$5:$D$104,MATCH(B171,Productos!$B$5:$B$104,0)),""))</f>
        <v/>
      </c>
      <c r="E171" s="21"/>
      <c r="F171" s="11" t="str">
        <f aca="false">IF(B171="","",IFERROR(INDEX(Productos!$F$5:$F$104,MATCH(B171,Productos!$B$5:$B$104,0)),0))</f>
        <v/>
      </c>
      <c r="G171" s="11" t="str">
        <f aca="false">IF(B171="","",E171*F171)</f>
        <v/>
      </c>
    </row>
    <row r="172" customFormat="false" ht="15" hidden="false" customHeight="false" outlineLevel="0" collapsed="false">
      <c r="A172" s="25"/>
      <c r="B172" s="20"/>
      <c r="C172" s="7" t="str">
        <f aca="false">IF(B172="","",IFERROR(INDEX(Productos!$A$5:$A$104,MATCH(B172,Productos!$B$5:$B$104,0)),""))</f>
        <v/>
      </c>
      <c r="D172" s="7" t="str">
        <f aca="false">IF(B172="","",IFERROR(INDEX(Productos!$D$5:$D$104,MATCH(B172,Productos!$B$5:$B$104,0)),""))</f>
        <v/>
      </c>
      <c r="E172" s="21"/>
      <c r="F172" s="11" t="str">
        <f aca="false">IF(B172="","",IFERROR(INDEX(Productos!$F$5:$F$104,MATCH(B172,Productos!$B$5:$B$104,0)),0))</f>
        <v/>
      </c>
      <c r="G172" s="11" t="str">
        <f aca="false">IF(B172="","",E172*F172)</f>
        <v/>
      </c>
    </row>
    <row r="173" customFormat="false" ht="15" hidden="false" customHeight="false" outlineLevel="0" collapsed="false">
      <c r="A173" s="25"/>
      <c r="B173" s="20"/>
      <c r="C173" s="7" t="str">
        <f aca="false">IF(B173="","",IFERROR(INDEX(Productos!$A$5:$A$104,MATCH(B173,Productos!$B$5:$B$104,0)),""))</f>
        <v/>
      </c>
      <c r="D173" s="7" t="str">
        <f aca="false">IF(B173="","",IFERROR(INDEX(Productos!$D$5:$D$104,MATCH(B173,Productos!$B$5:$B$104,0)),""))</f>
        <v/>
      </c>
      <c r="E173" s="21"/>
      <c r="F173" s="11" t="str">
        <f aca="false">IF(B173="","",IFERROR(INDEX(Productos!$F$5:$F$104,MATCH(B173,Productos!$B$5:$B$104,0)),0))</f>
        <v/>
      </c>
      <c r="G173" s="11" t="str">
        <f aca="false">IF(B173="","",E173*F173)</f>
        <v/>
      </c>
    </row>
    <row r="174" customFormat="false" ht="15" hidden="false" customHeight="false" outlineLevel="0" collapsed="false">
      <c r="A174" s="25"/>
      <c r="B174" s="20"/>
      <c r="C174" s="7" t="str">
        <f aca="false">IF(B174="","",IFERROR(INDEX(Productos!$A$5:$A$104,MATCH(B174,Productos!$B$5:$B$104,0)),""))</f>
        <v/>
      </c>
      <c r="D174" s="7" t="str">
        <f aca="false">IF(B174="","",IFERROR(INDEX(Productos!$D$5:$D$104,MATCH(B174,Productos!$B$5:$B$104,0)),""))</f>
        <v/>
      </c>
      <c r="E174" s="21"/>
      <c r="F174" s="11" t="str">
        <f aca="false">IF(B174="","",IFERROR(INDEX(Productos!$F$5:$F$104,MATCH(B174,Productos!$B$5:$B$104,0)),0))</f>
        <v/>
      </c>
      <c r="G174" s="11" t="str">
        <f aca="false">IF(B174="","",E174*F174)</f>
        <v/>
      </c>
    </row>
    <row r="175" customFormat="false" ht="15" hidden="false" customHeight="false" outlineLevel="0" collapsed="false">
      <c r="A175" s="25"/>
      <c r="B175" s="20"/>
      <c r="C175" s="7" t="str">
        <f aca="false">IF(B175="","",IFERROR(INDEX(Productos!$A$5:$A$104,MATCH(B175,Productos!$B$5:$B$104,0)),""))</f>
        <v/>
      </c>
      <c r="D175" s="7" t="str">
        <f aca="false">IF(B175="","",IFERROR(INDEX(Productos!$D$5:$D$104,MATCH(B175,Productos!$B$5:$B$104,0)),""))</f>
        <v/>
      </c>
      <c r="E175" s="21"/>
      <c r="F175" s="11" t="str">
        <f aca="false">IF(B175="","",IFERROR(INDEX(Productos!$F$5:$F$104,MATCH(B175,Productos!$B$5:$B$104,0)),0))</f>
        <v/>
      </c>
      <c r="G175" s="11" t="str">
        <f aca="false">IF(B175="","",E175*F175)</f>
        <v/>
      </c>
    </row>
    <row r="176" customFormat="false" ht="15" hidden="false" customHeight="false" outlineLevel="0" collapsed="false">
      <c r="A176" s="25"/>
      <c r="B176" s="20"/>
      <c r="C176" s="7" t="str">
        <f aca="false">IF(B176="","",IFERROR(INDEX(Productos!$A$5:$A$104,MATCH(B176,Productos!$B$5:$B$104,0)),""))</f>
        <v/>
      </c>
      <c r="D176" s="7" t="str">
        <f aca="false">IF(B176="","",IFERROR(INDEX(Productos!$D$5:$D$104,MATCH(B176,Productos!$B$5:$B$104,0)),""))</f>
        <v/>
      </c>
      <c r="E176" s="21"/>
      <c r="F176" s="11" t="str">
        <f aca="false">IF(B176="","",IFERROR(INDEX(Productos!$F$5:$F$104,MATCH(B176,Productos!$B$5:$B$104,0)),0))</f>
        <v/>
      </c>
      <c r="G176" s="11" t="str">
        <f aca="false">IF(B176="","",E176*F176)</f>
        <v/>
      </c>
    </row>
    <row r="177" customFormat="false" ht="15" hidden="false" customHeight="false" outlineLevel="0" collapsed="false">
      <c r="A177" s="25"/>
      <c r="B177" s="20"/>
      <c r="C177" s="7" t="str">
        <f aca="false">IF(B177="","",IFERROR(INDEX(Productos!$A$5:$A$104,MATCH(B177,Productos!$B$5:$B$104,0)),""))</f>
        <v/>
      </c>
      <c r="D177" s="7" t="str">
        <f aca="false">IF(B177="","",IFERROR(INDEX(Productos!$D$5:$D$104,MATCH(B177,Productos!$B$5:$B$104,0)),""))</f>
        <v/>
      </c>
      <c r="E177" s="21"/>
      <c r="F177" s="11" t="str">
        <f aca="false">IF(B177="","",IFERROR(INDEX(Productos!$F$5:$F$104,MATCH(B177,Productos!$B$5:$B$104,0)),0))</f>
        <v/>
      </c>
      <c r="G177" s="11" t="str">
        <f aca="false">IF(B177="","",E177*F177)</f>
        <v/>
      </c>
    </row>
    <row r="178" customFormat="false" ht="15" hidden="false" customHeight="false" outlineLevel="0" collapsed="false">
      <c r="A178" s="25"/>
      <c r="B178" s="20"/>
      <c r="C178" s="7" t="str">
        <f aca="false">IF(B178="","",IFERROR(INDEX(Productos!$A$5:$A$104,MATCH(B178,Productos!$B$5:$B$104,0)),""))</f>
        <v/>
      </c>
      <c r="D178" s="7" t="str">
        <f aca="false">IF(B178="","",IFERROR(INDEX(Productos!$D$5:$D$104,MATCH(B178,Productos!$B$5:$B$104,0)),""))</f>
        <v/>
      </c>
      <c r="E178" s="21"/>
      <c r="F178" s="11" t="str">
        <f aca="false">IF(B178="","",IFERROR(INDEX(Productos!$F$5:$F$104,MATCH(B178,Productos!$B$5:$B$104,0)),0))</f>
        <v/>
      </c>
      <c r="G178" s="11" t="str">
        <f aca="false">IF(B178="","",E178*F178)</f>
        <v/>
      </c>
    </row>
    <row r="179" customFormat="false" ht="15" hidden="false" customHeight="false" outlineLevel="0" collapsed="false">
      <c r="A179" s="25"/>
      <c r="B179" s="20"/>
      <c r="C179" s="7" t="str">
        <f aca="false">IF(B179="","",IFERROR(INDEX(Productos!$A$5:$A$104,MATCH(B179,Productos!$B$5:$B$104,0)),""))</f>
        <v/>
      </c>
      <c r="D179" s="7" t="str">
        <f aca="false">IF(B179="","",IFERROR(INDEX(Productos!$D$5:$D$104,MATCH(B179,Productos!$B$5:$B$104,0)),""))</f>
        <v/>
      </c>
      <c r="E179" s="21"/>
      <c r="F179" s="11" t="str">
        <f aca="false">IF(B179="","",IFERROR(INDEX(Productos!$F$5:$F$104,MATCH(B179,Productos!$B$5:$B$104,0)),0))</f>
        <v/>
      </c>
      <c r="G179" s="11" t="str">
        <f aca="false">IF(B179="","",E179*F179)</f>
        <v/>
      </c>
    </row>
    <row r="180" customFormat="false" ht="15" hidden="false" customHeight="false" outlineLevel="0" collapsed="false">
      <c r="A180" s="25"/>
      <c r="B180" s="20"/>
      <c r="C180" s="7" t="str">
        <f aca="false">IF(B180="","",IFERROR(INDEX(Productos!$A$5:$A$104,MATCH(B180,Productos!$B$5:$B$104,0)),""))</f>
        <v/>
      </c>
      <c r="D180" s="7" t="str">
        <f aca="false">IF(B180="","",IFERROR(INDEX(Productos!$D$5:$D$104,MATCH(B180,Productos!$B$5:$B$104,0)),""))</f>
        <v/>
      </c>
      <c r="E180" s="21"/>
      <c r="F180" s="11" t="str">
        <f aca="false">IF(B180="","",IFERROR(INDEX(Productos!$F$5:$F$104,MATCH(B180,Productos!$B$5:$B$104,0)),0))</f>
        <v/>
      </c>
      <c r="G180" s="11" t="str">
        <f aca="false">IF(B180="","",E180*F180)</f>
        <v/>
      </c>
    </row>
    <row r="181" customFormat="false" ht="15" hidden="false" customHeight="false" outlineLevel="0" collapsed="false">
      <c r="A181" s="25"/>
      <c r="B181" s="20"/>
      <c r="C181" s="7" t="str">
        <f aca="false">IF(B181="","",IFERROR(INDEX(Productos!$A$5:$A$104,MATCH(B181,Productos!$B$5:$B$104,0)),""))</f>
        <v/>
      </c>
      <c r="D181" s="7" t="str">
        <f aca="false">IF(B181="","",IFERROR(INDEX(Productos!$D$5:$D$104,MATCH(B181,Productos!$B$5:$B$104,0)),""))</f>
        <v/>
      </c>
      <c r="E181" s="21"/>
      <c r="F181" s="11" t="str">
        <f aca="false">IF(B181="","",IFERROR(INDEX(Productos!$F$5:$F$104,MATCH(B181,Productos!$B$5:$B$104,0)),0))</f>
        <v/>
      </c>
      <c r="G181" s="11" t="str">
        <f aca="false">IF(B181="","",E181*F181)</f>
        <v/>
      </c>
    </row>
    <row r="182" customFormat="false" ht="15" hidden="false" customHeight="false" outlineLevel="0" collapsed="false">
      <c r="A182" s="25"/>
      <c r="B182" s="20"/>
      <c r="C182" s="7" t="str">
        <f aca="false">IF(B182="","",IFERROR(INDEX(Productos!$A$5:$A$104,MATCH(B182,Productos!$B$5:$B$104,0)),""))</f>
        <v/>
      </c>
      <c r="D182" s="7" t="str">
        <f aca="false">IF(B182="","",IFERROR(INDEX(Productos!$D$5:$D$104,MATCH(B182,Productos!$B$5:$B$104,0)),""))</f>
        <v/>
      </c>
      <c r="E182" s="21"/>
      <c r="F182" s="11" t="str">
        <f aca="false">IF(B182="","",IFERROR(INDEX(Productos!$F$5:$F$104,MATCH(B182,Productos!$B$5:$B$104,0)),0))</f>
        <v/>
      </c>
      <c r="G182" s="11" t="str">
        <f aca="false">IF(B182="","",E182*F182)</f>
        <v/>
      </c>
    </row>
    <row r="183" customFormat="false" ht="15" hidden="false" customHeight="false" outlineLevel="0" collapsed="false">
      <c r="A183" s="25"/>
      <c r="B183" s="20"/>
      <c r="C183" s="7" t="str">
        <f aca="false">IF(B183="","",IFERROR(INDEX(Productos!$A$5:$A$104,MATCH(B183,Productos!$B$5:$B$104,0)),""))</f>
        <v/>
      </c>
      <c r="D183" s="7" t="str">
        <f aca="false">IF(B183="","",IFERROR(INDEX(Productos!$D$5:$D$104,MATCH(B183,Productos!$B$5:$B$104,0)),""))</f>
        <v/>
      </c>
      <c r="E183" s="21"/>
      <c r="F183" s="11" t="str">
        <f aca="false">IF(B183="","",IFERROR(INDEX(Productos!$F$5:$F$104,MATCH(B183,Productos!$B$5:$B$104,0)),0))</f>
        <v/>
      </c>
      <c r="G183" s="11" t="str">
        <f aca="false">IF(B183="","",E183*F183)</f>
        <v/>
      </c>
    </row>
    <row r="184" customFormat="false" ht="15" hidden="false" customHeight="false" outlineLevel="0" collapsed="false">
      <c r="A184" s="25"/>
      <c r="B184" s="20"/>
      <c r="C184" s="7" t="str">
        <f aca="false">IF(B184="","",IFERROR(INDEX(Productos!$A$5:$A$104,MATCH(B184,Productos!$B$5:$B$104,0)),""))</f>
        <v/>
      </c>
      <c r="D184" s="7" t="str">
        <f aca="false">IF(B184="","",IFERROR(INDEX(Productos!$D$5:$D$104,MATCH(B184,Productos!$B$5:$B$104,0)),""))</f>
        <v/>
      </c>
      <c r="E184" s="21"/>
      <c r="F184" s="11" t="str">
        <f aca="false">IF(B184="","",IFERROR(INDEX(Productos!$F$5:$F$104,MATCH(B184,Productos!$B$5:$B$104,0)),0))</f>
        <v/>
      </c>
      <c r="G184" s="11" t="str">
        <f aca="false">IF(B184="","",E184*F184)</f>
        <v/>
      </c>
    </row>
    <row r="185" customFormat="false" ht="15" hidden="false" customHeight="false" outlineLevel="0" collapsed="false">
      <c r="A185" s="25"/>
      <c r="B185" s="20"/>
      <c r="C185" s="7" t="str">
        <f aca="false">IF(B185="","",IFERROR(INDEX(Productos!$A$5:$A$104,MATCH(B185,Productos!$B$5:$B$104,0)),""))</f>
        <v/>
      </c>
      <c r="D185" s="7" t="str">
        <f aca="false">IF(B185="","",IFERROR(INDEX(Productos!$D$5:$D$104,MATCH(B185,Productos!$B$5:$B$104,0)),""))</f>
        <v/>
      </c>
      <c r="E185" s="21"/>
      <c r="F185" s="11" t="str">
        <f aca="false">IF(B185="","",IFERROR(INDEX(Productos!$F$5:$F$104,MATCH(B185,Productos!$B$5:$B$104,0)),0))</f>
        <v/>
      </c>
      <c r="G185" s="11" t="str">
        <f aca="false">IF(B185="","",E185*F185)</f>
        <v/>
      </c>
    </row>
    <row r="186" customFormat="false" ht="15" hidden="false" customHeight="false" outlineLevel="0" collapsed="false">
      <c r="A186" s="25"/>
      <c r="B186" s="20"/>
      <c r="C186" s="7" t="str">
        <f aca="false">IF(B186="","",IFERROR(INDEX(Productos!$A$5:$A$104,MATCH(B186,Productos!$B$5:$B$104,0)),""))</f>
        <v/>
      </c>
      <c r="D186" s="7" t="str">
        <f aca="false">IF(B186="","",IFERROR(INDEX(Productos!$D$5:$D$104,MATCH(B186,Productos!$B$5:$B$104,0)),""))</f>
        <v/>
      </c>
      <c r="E186" s="21"/>
      <c r="F186" s="11" t="str">
        <f aca="false">IF(B186="","",IFERROR(INDEX(Productos!$F$5:$F$104,MATCH(B186,Productos!$B$5:$B$104,0)),0))</f>
        <v/>
      </c>
      <c r="G186" s="11" t="str">
        <f aca="false">IF(B186="","",E186*F186)</f>
        <v/>
      </c>
    </row>
    <row r="187" customFormat="false" ht="15" hidden="false" customHeight="false" outlineLevel="0" collapsed="false">
      <c r="A187" s="25"/>
      <c r="B187" s="20"/>
      <c r="C187" s="7" t="str">
        <f aca="false">IF(B187="","",IFERROR(INDEX(Productos!$A$5:$A$104,MATCH(B187,Productos!$B$5:$B$104,0)),""))</f>
        <v/>
      </c>
      <c r="D187" s="7" t="str">
        <f aca="false">IF(B187="","",IFERROR(INDEX(Productos!$D$5:$D$104,MATCH(B187,Productos!$B$5:$B$104,0)),""))</f>
        <v/>
      </c>
      <c r="E187" s="21"/>
      <c r="F187" s="11" t="str">
        <f aca="false">IF(B187="","",IFERROR(INDEX(Productos!$F$5:$F$104,MATCH(B187,Productos!$B$5:$B$104,0)),0))</f>
        <v/>
      </c>
      <c r="G187" s="11" t="str">
        <f aca="false">IF(B187="","",E187*F187)</f>
        <v/>
      </c>
    </row>
    <row r="188" customFormat="false" ht="15" hidden="false" customHeight="false" outlineLevel="0" collapsed="false">
      <c r="A188" s="25"/>
      <c r="B188" s="20"/>
      <c r="C188" s="7" t="str">
        <f aca="false">IF(B188="","",IFERROR(INDEX(Productos!$A$5:$A$104,MATCH(B188,Productos!$B$5:$B$104,0)),""))</f>
        <v/>
      </c>
      <c r="D188" s="7" t="str">
        <f aca="false">IF(B188="","",IFERROR(INDEX(Productos!$D$5:$D$104,MATCH(B188,Productos!$B$5:$B$104,0)),""))</f>
        <v/>
      </c>
      <c r="E188" s="21"/>
      <c r="F188" s="11" t="str">
        <f aca="false">IF(B188="","",IFERROR(INDEX(Productos!$F$5:$F$104,MATCH(B188,Productos!$B$5:$B$104,0)),0))</f>
        <v/>
      </c>
      <c r="G188" s="11" t="str">
        <f aca="false">IF(B188="","",E188*F188)</f>
        <v/>
      </c>
    </row>
    <row r="189" customFormat="false" ht="15" hidden="false" customHeight="false" outlineLevel="0" collapsed="false">
      <c r="A189" s="25"/>
      <c r="B189" s="20"/>
      <c r="C189" s="7" t="str">
        <f aca="false">IF(B189="","",IFERROR(INDEX(Productos!$A$5:$A$104,MATCH(B189,Productos!$B$5:$B$104,0)),""))</f>
        <v/>
      </c>
      <c r="D189" s="7" t="str">
        <f aca="false">IF(B189="","",IFERROR(INDEX(Productos!$D$5:$D$104,MATCH(B189,Productos!$B$5:$B$104,0)),""))</f>
        <v/>
      </c>
      <c r="E189" s="21"/>
      <c r="F189" s="11" t="str">
        <f aca="false">IF(B189="","",IFERROR(INDEX(Productos!$F$5:$F$104,MATCH(B189,Productos!$B$5:$B$104,0)),0))</f>
        <v/>
      </c>
      <c r="G189" s="11" t="str">
        <f aca="false">IF(B189="","",E189*F189)</f>
        <v/>
      </c>
    </row>
    <row r="190" customFormat="false" ht="15" hidden="false" customHeight="false" outlineLevel="0" collapsed="false">
      <c r="A190" s="25"/>
      <c r="B190" s="20"/>
      <c r="C190" s="7" t="str">
        <f aca="false">IF(B190="","",IFERROR(INDEX(Productos!$A$5:$A$104,MATCH(B190,Productos!$B$5:$B$104,0)),""))</f>
        <v/>
      </c>
      <c r="D190" s="7" t="str">
        <f aca="false">IF(B190="","",IFERROR(INDEX(Productos!$D$5:$D$104,MATCH(B190,Productos!$B$5:$B$104,0)),""))</f>
        <v/>
      </c>
      <c r="E190" s="21"/>
      <c r="F190" s="11" t="str">
        <f aca="false">IF(B190="","",IFERROR(INDEX(Productos!$F$5:$F$104,MATCH(B190,Productos!$B$5:$B$104,0)),0))</f>
        <v/>
      </c>
      <c r="G190" s="11" t="str">
        <f aca="false">IF(B190="","",E190*F190)</f>
        <v/>
      </c>
    </row>
    <row r="191" customFormat="false" ht="15" hidden="false" customHeight="false" outlineLevel="0" collapsed="false">
      <c r="A191" s="25"/>
      <c r="B191" s="20"/>
      <c r="C191" s="7" t="str">
        <f aca="false">IF(B191="","",IFERROR(INDEX(Productos!$A$5:$A$104,MATCH(B191,Productos!$B$5:$B$104,0)),""))</f>
        <v/>
      </c>
      <c r="D191" s="7" t="str">
        <f aca="false">IF(B191="","",IFERROR(INDEX(Productos!$D$5:$D$104,MATCH(B191,Productos!$B$5:$B$104,0)),""))</f>
        <v/>
      </c>
      <c r="E191" s="21"/>
      <c r="F191" s="11" t="str">
        <f aca="false">IF(B191="","",IFERROR(INDEX(Productos!$F$5:$F$104,MATCH(B191,Productos!$B$5:$B$104,0)),0))</f>
        <v/>
      </c>
      <c r="G191" s="11" t="str">
        <f aca="false">IF(B191="","",E191*F191)</f>
        <v/>
      </c>
    </row>
    <row r="192" customFormat="false" ht="15" hidden="false" customHeight="false" outlineLevel="0" collapsed="false">
      <c r="A192" s="25"/>
      <c r="B192" s="20"/>
      <c r="C192" s="7" t="str">
        <f aca="false">IF(B192="","",IFERROR(INDEX(Productos!$A$5:$A$104,MATCH(B192,Productos!$B$5:$B$104,0)),""))</f>
        <v/>
      </c>
      <c r="D192" s="7" t="str">
        <f aca="false">IF(B192="","",IFERROR(INDEX(Productos!$D$5:$D$104,MATCH(B192,Productos!$B$5:$B$104,0)),""))</f>
        <v/>
      </c>
      <c r="E192" s="21"/>
      <c r="F192" s="11" t="str">
        <f aca="false">IF(B192="","",IFERROR(INDEX(Productos!$F$5:$F$104,MATCH(B192,Productos!$B$5:$B$104,0)),0))</f>
        <v/>
      </c>
      <c r="G192" s="11" t="str">
        <f aca="false">IF(B192="","",E192*F192)</f>
        <v/>
      </c>
    </row>
    <row r="193" customFormat="false" ht="15" hidden="false" customHeight="false" outlineLevel="0" collapsed="false">
      <c r="A193" s="25"/>
      <c r="B193" s="20"/>
      <c r="C193" s="7" t="str">
        <f aca="false">IF(B193="","",IFERROR(INDEX(Productos!$A$5:$A$104,MATCH(B193,Productos!$B$5:$B$104,0)),""))</f>
        <v/>
      </c>
      <c r="D193" s="7" t="str">
        <f aca="false">IF(B193="","",IFERROR(INDEX(Productos!$D$5:$D$104,MATCH(B193,Productos!$B$5:$B$104,0)),""))</f>
        <v/>
      </c>
      <c r="E193" s="21"/>
      <c r="F193" s="11" t="str">
        <f aca="false">IF(B193="","",IFERROR(INDEX(Productos!$F$5:$F$104,MATCH(B193,Productos!$B$5:$B$104,0)),0))</f>
        <v/>
      </c>
      <c r="G193" s="11" t="str">
        <f aca="false">IF(B193="","",E193*F193)</f>
        <v/>
      </c>
    </row>
    <row r="194" customFormat="false" ht="15" hidden="false" customHeight="false" outlineLevel="0" collapsed="false">
      <c r="A194" s="25"/>
      <c r="B194" s="20"/>
      <c r="C194" s="7" t="str">
        <f aca="false">IF(B194="","",IFERROR(INDEX(Productos!$A$5:$A$104,MATCH(B194,Productos!$B$5:$B$104,0)),""))</f>
        <v/>
      </c>
      <c r="D194" s="7" t="str">
        <f aca="false">IF(B194="","",IFERROR(INDEX(Productos!$D$5:$D$104,MATCH(B194,Productos!$B$5:$B$104,0)),""))</f>
        <v/>
      </c>
      <c r="E194" s="21"/>
      <c r="F194" s="11" t="str">
        <f aca="false">IF(B194="","",IFERROR(INDEX(Productos!$F$5:$F$104,MATCH(B194,Productos!$B$5:$B$104,0)),0))</f>
        <v/>
      </c>
      <c r="G194" s="11" t="str">
        <f aca="false">IF(B194="","",E194*F194)</f>
        <v/>
      </c>
    </row>
    <row r="195" customFormat="false" ht="15" hidden="false" customHeight="false" outlineLevel="0" collapsed="false">
      <c r="A195" s="25"/>
      <c r="B195" s="20"/>
      <c r="C195" s="7" t="str">
        <f aca="false">IF(B195="","",IFERROR(INDEX(Productos!$A$5:$A$104,MATCH(B195,Productos!$B$5:$B$104,0)),""))</f>
        <v/>
      </c>
      <c r="D195" s="7" t="str">
        <f aca="false">IF(B195="","",IFERROR(INDEX(Productos!$D$5:$D$104,MATCH(B195,Productos!$B$5:$B$104,0)),""))</f>
        <v/>
      </c>
      <c r="E195" s="21"/>
      <c r="F195" s="11" t="str">
        <f aca="false">IF(B195="","",IFERROR(INDEX(Productos!$F$5:$F$104,MATCH(B195,Productos!$B$5:$B$104,0)),0))</f>
        <v/>
      </c>
      <c r="G195" s="11" t="str">
        <f aca="false">IF(B195="","",E195*F195)</f>
        <v/>
      </c>
    </row>
    <row r="196" customFormat="false" ht="15" hidden="false" customHeight="false" outlineLevel="0" collapsed="false">
      <c r="A196" s="25"/>
      <c r="B196" s="20"/>
      <c r="C196" s="7" t="str">
        <f aca="false">IF(B196="","",IFERROR(INDEX(Productos!$A$5:$A$104,MATCH(B196,Productos!$B$5:$B$104,0)),""))</f>
        <v/>
      </c>
      <c r="D196" s="7" t="str">
        <f aca="false">IF(B196="","",IFERROR(INDEX(Productos!$D$5:$D$104,MATCH(B196,Productos!$B$5:$B$104,0)),""))</f>
        <v/>
      </c>
      <c r="E196" s="21"/>
      <c r="F196" s="11" t="str">
        <f aca="false">IF(B196="","",IFERROR(INDEX(Productos!$F$5:$F$104,MATCH(B196,Productos!$B$5:$B$104,0)),0))</f>
        <v/>
      </c>
      <c r="G196" s="11" t="str">
        <f aca="false">IF(B196="","",E196*F196)</f>
        <v/>
      </c>
    </row>
    <row r="197" customFormat="false" ht="15" hidden="false" customHeight="false" outlineLevel="0" collapsed="false">
      <c r="A197" s="25"/>
      <c r="B197" s="20"/>
      <c r="C197" s="7" t="str">
        <f aca="false">IF(B197="","",IFERROR(INDEX(Productos!$A$5:$A$104,MATCH(B197,Productos!$B$5:$B$104,0)),""))</f>
        <v/>
      </c>
      <c r="D197" s="7" t="str">
        <f aca="false">IF(B197="","",IFERROR(INDEX(Productos!$D$5:$D$104,MATCH(B197,Productos!$B$5:$B$104,0)),""))</f>
        <v/>
      </c>
      <c r="E197" s="21"/>
      <c r="F197" s="11" t="str">
        <f aca="false">IF(B197="","",IFERROR(INDEX(Productos!$F$5:$F$104,MATCH(B197,Productos!$B$5:$B$104,0)),0))</f>
        <v/>
      </c>
      <c r="G197" s="11" t="str">
        <f aca="false">IF(B197="","",E197*F197)</f>
        <v/>
      </c>
    </row>
    <row r="198" customFormat="false" ht="15" hidden="false" customHeight="false" outlineLevel="0" collapsed="false">
      <c r="A198" s="25"/>
      <c r="B198" s="20"/>
      <c r="C198" s="7" t="str">
        <f aca="false">IF(B198="","",IFERROR(INDEX(Productos!$A$5:$A$104,MATCH(B198,Productos!$B$5:$B$104,0)),""))</f>
        <v/>
      </c>
      <c r="D198" s="7" t="str">
        <f aca="false">IF(B198="","",IFERROR(INDEX(Productos!$D$5:$D$104,MATCH(B198,Productos!$B$5:$B$104,0)),""))</f>
        <v/>
      </c>
      <c r="E198" s="21"/>
      <c r="F198" s="11" t="str">
        <f aca="false">IF(B198="","",IFERROR(INDEX(Productos!$F$5:$F$104,MATCH(B198,Productos!$B$5:$B$104,0)),0))</f>
        <v/>
      </c>
      <c r="G198" s="11" t="str">
        <f aca="false">IF(B198="","",E198*F198)</f>
        <v/>
      </c>
    </row>
    <row r="199" customFormat="false" ht="15" hidden="false" customHeight="false" outlineLevel="0" collapsed="false">
      <c r="A199" s="25"/>
      <c r="B199" s="20"/>
      <c r="C199" s="7" t="str">
        <f aca="false">IF(B199="","",IFERROR(INDEX(Productos!$A$5:$A$104,MATCH(B199,Productos!$B$5:$B$104,0)),""))</f>
        <v/>
      </c>
      <c r="D199" s="7" t="str">
        <f aca="false">IF(B199="","",IFERROR(INDEX(Productos!$D$5:$D$104,MATCH(B199,Productos!$B$5:$B$104,0)),""))</f>
        <v/>
      </c>
      <c r="E199" s="21"/>
      <c r="F199" s="11" t="str">
        <f aca="false">IF(B199="","",IFERROR(INDEX(Productos!$F$5:$F$104,MATCH(B199,Productos!$B$5:$B$104,0)),0))</f>
        <v/>
      </c>
      <c r="G199" s="11" t="str">
        <f aca="false">IF(B199="","",E199*F199)</f>
        <v/>
      </c>
    </row>
    <row r="200" customFormat="false" ht="15" hidden="false" customHeight="false" outlineLevel="0" collapsed="false">
      <c r="A200" s="25"/>
      <c r="B200" s="20"/>
      <c r="C200" s="7" t="str">
        <f aca="false">IF(B200="","",IFERROR(INDEX(Productos!$A$5:$A$104,MATCH(B200,Productos!$B$5:$B$104,0)),""))</f>
        <v/>
      </c>
      <c r="D200" s="7" t="str">
        <f aca="false">IF(B200="","",IFERROR(INDEX(Productos!$D$5:$D$104,MATCH(B200,Productos!$B$5:$B$104,0)),""))</f>
        <v/>
      </c>
      <c r="E200" s="21"/>
      <c r="F200" s="11" t="str">
        <f aca="false">IF(B200="","",IFERROR(INDEX(Productos!$F$5:$F$104,MATCH(B200,Productos!$B$5:$B$104,0)),0))</f>
        <v/>
      </c>
      <c r="G200" s="11" t="str">
        <f aca="false">IF(B200="","",E200*F200)</f>
        <v/>
      </c>
    </row>
    <row r="201" customFormat="false" ht="15" hidden="false" customHeight="false" outlineLevel="0" collapsed="false">
      <c r="A201" s="25"/>
      <c r="B201" s="20"/>
      <c r="C201" s="7" t="str">
        <f aca="false">IF(B201="","",IFERROR(INDEX(Productos!$A$5:$A$104,MATCH(B201,Productos!$B$5:$B$104,0)),""))</f>
        <v/>
      </c>
      <c r="D201" s="7" t="str">
        <f aca="false">IF(B201="","",IFERROR(INDEX(Productos!$D$5:$D$104,MATCH(B201,Productos!$B$5:$B$104,0)),""))</f>
        <v/>
      </c>
      <c r="E201" s="21"/>
      <c r="F201" s="11" t="str">
        <f aca="false">IF(B201="","",IFERROR(INDEX(Productos!$F$5:$F$104,MATCH(B201,Productos!$B$5:$B$104,0)),0))</f>
        <v/>
      </c>
      <c r="G201" s="11" t="str">
        <f aca="false">IF(B201="","",E201*F201)</f>
        <v/>
      </c>
    </row>
    <row r="202" customFormat="false" ht="15" hidden="false" customHeight="false" outlineLevel="0" collapsed="false">
      <c r="A202" s="25"/>
      <c r="B202" s="20"/>
      <c r="C202" s="7" t="str">
        <f aca="false">IF(B202="","",IFERROR(INDEX(Productos!$A$5:$A$104,MATCH(B202,Productos!$B$5:$B$104,0)),""))</f>
        <v/>
      </c>
      <c r="D202" s="7" t="str">
        <f aca="false">IF(B202="","",IFERROR(INDEX(Productos!$D$5:$D$104,MATCH(B202,Productos!$B$5:$B$104,0)),""))</f>
        <v/>
      </c>
      <c r="E202" s="21"/>
      <c r="F202" s="11" t="str">
        <f aca="false">IF(B202="","",IFERROR(INDEX(Productos!$F$5:$F$104,MATCH(B202,Productos!$B$5:$B$104,0)),0))</f>
        <v/>
      </c>
      <c r="G202" s="11" t="str">
        <f aca="false">IF(B202="","",E202*F202)</f>
        <v/>
      </c>
    </row>
    <row r="203" customFormat="false" ht="15" hidden="false" customHeight="false" outlineLevel="0" collapsed="false">
      <c r="A203" s="25"/>
      <c r="B203" s="20"/>
      <c r="C203" s="7" t="str">
        <f aca="false">IF(B203="","",IFERROR(INDEX(Productos!$A$5:$A$104,MATCH(B203,Productos!$B$5:$B$104,0)),""))</f>
        <v/>
      </c>
      <c r="D203" s="7" t="str">
        <f aca="false">IF(B203="","",IFERROR(INDEX(Productos!$D$5:$D$104,MATCH(B203,Productos!$B$5:$B$104,0)),""))</f>
        <v/>
      </c>
      <c r="E203" s="21"/>
      <c r="F203" s="11" t="str">
        <f aca="false">IF(B203="","",IFERROR(INDEX(Productos!$F$5:$F$104,MATCH(B203,Productos!$B$5:$B$104,0)),0))</f>
        <v/>
      </c>
      <c r="G203" s="11" t="str">
        <f aca="false">IF(B203="","",E203*F203)</f>
        <v/>
      </c>
    </row>
    <row r="204" customFormat="false" ht="15" hidden="false" customHeight="false" outlineLevel="0" collapsed="false">
      <c r="A204" s="25"/>
      <c r="B204" s="20"/>
      <c r="C204" s="7" t="str">
        <f aca="false">IF(B204="","",IFERROR(INDEX(Productos!$A$5:$A$104,MATCH(B204,Productos!$B$5:$B$104,0)),""))</f>
        <v/>
      </c>
      <c r="D204" s="7" t="str">
        <f aca="false">IF(B204="","",IFERROR(INDEX(Productos!$D$5:$D$104,MATCH(B204,Productos!$B$5:$B$104,0)),""))</f>
        <v/>
      </c>
      <c r="E204" s="21"/>
      <c r="F204" s="11" t="str">
        <f aca="false">IF(B204="","",IFERROR(INDEX(Productos!$F$5:$F$104,MATCH(B204,Productos!$B$5:$B$104,0)),0))</f>
        <v/>
      </c>
      <c r="G204" s="11" t="str">
        <f aca="false">IF(B204="","",E204*F204)</f>
        <v/>
      </c>
    </row>
    <row r="205" customFormat="false" ht="15" hidden="false" customHeight="false" outlineLevel="0" collapsed="false">
      <c r="A205" s="25"/>
      <c r="B205" s="20"/>
      <c r="C205" s="7" t="str">
        <f aca="false">IF(B205="","",IFERROR(INDEX(Productos!$A$5:$A$104,MATCH(B205,Productos!$B$5:$B$104,0)),""))</f>
        <v/>
      </c>
      <c r="D205" s="7" t="str">
        <f aca="false">IF(B205="","",IFERROR(INDEX(Productos!$D$5:$D$104,MATCH(B205,Productos!$B$5:$B$104,0)),""))</f>
        <v/>
      </c>
      <c r="E205" s="21"/>
      <c r="F205" s="11" t="str">
        <f aca="false">IF(B205="","",IFERROR(INDEX(Productos!$F$5:$F$104,MATCH(B205,Productos!$B$5:$B$104,0)),0))</f>
        <v/>
      </c>
      <c r="G205" s="11" t="str">
        <f aca="false">IF(B205="","",E205*F205)</f>
        <v/>
      </c>
    </row>
    <row r="206" customFormat="false" ht="15" hidden="false" customHeight="false" outlineLevel="0" collapsed="false">
      <c r="A206" s="25"/>
      <c r="B206" s="20"/>
      <c r="C206" s="7" t="str">
        <f aca="false">IF(B206="","",IFERROR(INDEX(Productos!$A$5:$A$104,MATCH(B206,Productos!$B$5:$B$104,0)),""))</f>
        <v/>
      </c>
      <c r="D206" s="7" t="str">
        <f aca="false">IF(B206="","",IFERROR(INDEX(Productos!$D$5:$D$104,MATCH(B206,Productos!$B$5:$B$104,0)),""))</f>
        <v/>
      </c>
      <c r="E206" s="21"/>
      <c r="F206" s="11" t="str">
        <f aca="false">IF(B206="","",IFERROR(INDEX(Productos!$F$5:$F$104,MATCH(B206,Productos!$B$5:$B$104,0)),0))</f>
        <v/>
      </c>
      <c r="G206" s="11" t="str">
        <f aca="false">IF(B206="","",E206*F206)</f>
        <v/>
      </c>
    </row>
    <row r="207" customFormat="false" ht="15" hidden="false" customHeight="false" outlineLevel="0" collapsed="false">
      <c r="A207" s="25"/>
      <c r="B207" s="20"/>
      <c r="C207" s="7" t="str">
        <f aca="false">IF(B207="","",IFERROR(INDEX(Productos!$A$5:$A$104,MATCH(B207,Productos!$B$5:$B$104,0)),""))</f>
        <v/>
      </c>
      <c r="D207" s="7" t="str">
        <f aca="false">IF(B207="","",IFERROR(INDEX(Productos!$D$5:$D$104,MATCH(B207,Productos!$B$5:$B$104,0)),""))</f>
        <v/>
      </c>
      <c r="E207" s="21"/>
      <c r="F207" s="11" t="str">
        <f aca="false">IF(B207="","",IFERROR(INDEX(Productos!$F$5:$F$104,MATCH(B207,Productos!$B$5:$B$104,0)),0))</f>
        <v/>
      </c>
      <c r="G207" s="11" t="str">
        <f aca="false">IF(B207="","",E207*F207)</f>
        <v/>
      </c>
    </row>
    <row r="208" customFormat="false" ht="15" hidden="false" customHeight="false" outlineLevel="0" collapsed="false">
      <c r="A208" s="25"/>
      <c r="B208" s="20"/>
      <c r="C208" s="7" t="str">
        <f aca="false">IF(B208="","",IFERROR(INDEX(Productos!$A$5:$A$104,MATCH(B208,Productos!$B$5:$B$104,0)),""))</f>
        <v/>
      </c>
      <c r="D208" s="7" t="str">
        <f aca="false">IF(B208="","",IFERROR(INDEX(Productos!$D$5:$D$104,MATCH(B208,Productos!$B$5:$B$104,0)),""))</f>
        <v/>
      </c>
      <c r="E208" s="21"/>
      <c r="F208" s="11" t="str">
        <f aca="false">IF(B208="","",IFERROR(INDEX(Productos!$F$5:$F$104,MATCH(B208,Productos!$B$5:$B$104,0)),0))</f>
        <v/>
      </c>
      <c r="G208" s="11" t="str">
        <f aca="false">IF(B208="","",E208*F208)</f>
        <v/>
      </c>
    </row>
    <row r="209" customFormat="false" ht="15" hidden="false" customHeight="false" outlineLevel="0" collapsed="false">
      <c r="A209" s="25"/>
      <c r="B209" s="20"/>
      <c r="C209" s="7" t="str">
        <f aca="false">IF(B209="","",IFERROR(INDEX(Productos!$A$5:$A$104,MATCH(B209,Productos!$B$5:$B$104,0)),""))</f>
        <v/>
      </c>
      <c r="D209" s="7" t="str">
        <f aca="false">IF(B209="","",IFERROR(INDEX(Productos!$D$5:$D$104,MATCH(B209,Productos!$B$5:$B$104,0)),""))</f>
        <v/>
      </c>
      <c r="E209" s="21"/>
      <c r="F209" s="11" t="str">
        <f aca="false">IF(B209="","",IFERROR(INDEX(Productos!$F$5:$F$104,MATCH(B209,Productos!$B$5:$B$104,0)),0))</f>
        <v/>
      </c>
      <c r="G209" s="11" t="str">
        <f aca="false">IF(B209="","",E209*F209)</f>
        <v/>
      </c>
    </row>
    <row r="210" customFormat="false" ht="15" hidden="false" customHeight="false" outlineLevel="0" collapsed="false">
      <c r="A210" s="25"/>
      <c r="B210" s="20"/>
      <c r="C210" s="7" t="str">
        <f aca="false">IF(B210="","",IFERROR(INDEX(Productos!$A$5:$A$104,MATCH(B210,Productos!$B$5:$B$104,0)),""))</f>
        <v/>
      </c>
      <c r="D210" s="7" t="str">
        <f aca="false">IF(B210="","",IFERROR(INDEX(Productos!$D$5:$D$104,MATCH(B210,Productos!$B$5:$B$104,0)),""))</f>
        <v/>
      </c>
      <c r="E210" s="21"/>
      <c r="F210" s="11" t="str">
        <f aca="false">IF(B210="","",IFERROR(INDEX(Productos!$F$5:$F$104,MATCH(B210,Productos!$B$5:$B$104,0)),0))</f>
        <v/>
      </c>
      <c r="G210" s="11" t="str">
        <f aca="false">IF(B210="","",E210*F210)</f>
        <v/>
      </c>
    </row>
    <row r="211" customFormat="false" ht="15" hidden="false" customHeight="false" outlineLevel="0" collapsed="false">
      <c r="A211" s="25"/>
      <c r="B211" s="20"/>
      <c r="C211" s="7" t="str">
        <f aca="false">IF(B211="","",IFERROR(INDEX(Productos!$A$5:$A$104,MATCH(B211,Productos!$B$5:$B$104,0)),""))</f>
        <v/>
      </c>
      <c r="D211" s="7" t="str">
        <f aca="false">IF(B211="","",IFERROR(INDEX(Productos!$D$5:$D$104,MATCH(B211,Productos!$B$5:$B$104,0)),""))</f>
        <v/>
      </c>
      <c r="E211" s="21"/>
      <c r="F211" s="11" t="str">
        <f aca="false">IF(B211="","",IFERROR(INDEX(Productos!$F$5:$F$104,MATCH(B211,Productos!$B$5:$B$104,0)),0))</f>
        <v/>
      </c>
      <c r="G211" s="11" t="str">
        <f aca="false">IF(B211="","",E211*F211)</f>
        <v/>
      </c>
    </row>
    <row r="212" customFormat="false" ht="15" hidden="false" customHeight="false" outlineLevel="0" collapsed="false">
      <c r="A212" s="25"/>
      <c r="B212" s="20"/>
      <c r="C212" s="7" t="str">
        <f aca="false">IF(B212="","",IFERROR(INDEX(Productos!$A$5:$A$104,MATCH(B212,Productos!$B$5:$B$104,0)),""))</f>
        <v/>
      </c>
      <c r="D212" s="7" t="str">
        <f aca="false">IF(B212="","",IFERROR(INDEX(Productos!$D$5:$D$104,MATCH(B212,Productos!$B$5:$B$104,0)),""))</f>
        <v/>
      </c>
      <c r="E212" s="21"/>
      <c r="F212" s="11" t="str">
        <f aca="false">IF(B212="","",IFERROR(INDEX(Productos!$F$5:$F$104,MATCH(B212,Productos!$B$5:$B$104,0)),0))</f>
        <v/>
      </c>
      <c r="G212" s="11" t="str">
        <f aca="false">IF(B212="","",E212*F212)</f>
        <v/>
      </c>
    </row>
    <row r="213" customFormat="false" ht="15" hidden="false" customHeight="false" outlineLevel="0" collapsed="false">
      <c r="A213" s="25"/>
      <c r="B213" s="20"/>
      <c r="C213" s="7" t="str">
        <f aca="false">IF(B213="","",IFERROR(INDEX(Productos!$A$5:$A$104,MATCH(B213,Productos!$B$5:$B$104,0)),""))</f>
        <v/>
      </c>
      <c r="D213" s="7" t="str">
        <f aca="false">IF(B213="","",IFERROR(INDEX(Productos!$D$5:$D$104,MATCH(B213,Productos!$B$5:$B$104,0)),""))</f>
        <v/>
      </c>
      <c r="E213" s="21"/>
      <c r="F213" s="11" t="str">
        <f aca="false">IF(B213="","",IFERROR(INDEX(Productos!$F$5:$F$104,MATCH(B213,Productos!$B$5:$B$104,0)),0))</f>
        <v/>
      </c>
      <c r="G213" s="11" t="str">
        <f aca="false">IF(B213="","",E213*F213)</f>
        <v/>
      </c>
    </row>
    <row r="214" customFormat="false" ht="15" hidden="false" customHeight="false" outlineLevel="0" collapsed="false">
      <c r="A214" s="25"/>
      <c r="B214" s="20"/>
      <c r="C214" s="7" t="str">
        <f aca="false">IF(B214="","",IFERROR(INDEX(Productos!$A$5:$A$104,MATCH(B214,Productos!$B$5:$B$104,0)),""))</f>
        <v/>
      </c>
      <c r="D214" s="7" t="str">
        <f aca="false">IF(B214="","",IFERROR(INDEX(Productos!$D$5:$D$104,MATCH(B214,Productos!$B$5:$B$104,0)),""))</f>
        <v/>
      </c>
      <c r="E214" s="21"/>
      <c r="F214" s="11" t="str">
        <f aca="false">IF(B214="","",IFERROR(INDEX(Productos!$F$5:$F$104,MATCH(B214,Productos!$B$5:$B$104,0)),0))</f>
        <v/>
      </c>
      <c r="G214" s="11" t="str">
        <f aca="false">IF(B214="","",E214*F214)</f>
        <v/>
      </c>
    </row>
    <row r="215" customFormat="false" ht="15" hidden="false" customHeight="false" outlineLevel="0" collapsed="false">
      <c r="A215" s="25"/>
      <c r="B215" s="20"/>
      <c r="C215" s="7" t="str">
        <f aca="false">IF(B215="","",IFERROR(INDEX(Productos!$A$5:$A$104,MATCH(B215,Productos!$B$5:$B$104,0)),""))</f>
        <v/>
      </c>
      <c r="D215" s="7" t="str">
        <f aca="false">IF(B215="","",IFERROR(INDEX(Productos!$D$5:$D$104,MATCH(B215,Productos!$B$5:$B$104,0)),""))</f>
        <v/>
      </c>
      <c r="E215" s="21"/>
      <c r="F215" s="11" t="str">
        <f aca="false">IF(B215="","",IFERROR(INDEX(Productos!$F$5:$F$104,MATCH(B215,Productos!$B$5:$B$104,0)),0))</f>
        <v/>
      </c>
      <c r="G215" s="11" t="str">
        <f aca="false">IF(B215="","",E215*F215)</f>
        <v/>
      </c>
    </row>
    <row r="216" customFormat="false" ht="15" hidden="false" customHeight="false" outlineLevel="0" collapsed="false">
      <c r="A216" s="25"/>
      <c r="B216" s="20"/>
      <c r="C216" s="7" t="str">
        <f aca="false">IF(B216="","",IFERROR(INDEX(Productos!$A$5:$A$104,MATCH(B216,Productos!$B$5:$B$104,0)),""))</f>
        <v/>
      </c>
      <c r="D216" s="7" t="str">
        <f aca="false">IF(B216="","",IFERROR(INDEX(Productos!$D$5:$D$104,MATCH(B216,Productos!$B$5:$B$104,0)),""))</f>
        <v/>
      </c>
      <c r="E216" s="21"/>
      <c r="F216" s="11" t="str">
        <f aca="false">IF(B216="","",IFERROR(INDEX(Productos!$F$5:$F$104,MATCH(B216,Productos!$B$5:$B$104,0)),0))</f>
        <v/>
      </c>
      <c r="G216" s="11" t="str">
        <f aca="false">IF(B216="","",E216*F216)</f>
        <v/>
      </c>
    </row>
    <row r="217" customFormat="false" ht="15" hidden="false" customHeight="false" outlineLevel="0" collapsed="false">
      <c r="A217" s="25"/>
      <c r="B217" s="20"/>
      <c r="C217" s="7" t="str">
        <f aca="false">IF(B217="","",IFERROR(INDEX(Productos!$A$5:$A$104,MATCH(B217,Productos!$B$5:$B$104,0)),""))</f>
        <v/>
      </c>
      <c r="D217" s="7" t="str">
        <f aca="false">IF(B217="","",IFERROR(INDEX(Productos!$D$5:$D$104,MATCH(B217,Productos!$B$5:$B$104,0)),""))</f>
        <v/>
      </c>
      <c r="E217" s="21"/>
      <c r="F217" s="11" t="str">
        <f aca="false">IF(B217="","",IFERROR(INDEX(Productos!$F$5:$F$104,MATCH(B217,Productos!$B$5:$B$104,0)),0))</f>
        <v/>
      </c>
      <c r="G217" s="11" t="str">
        <f aca="false">IF(B217="","",E217*F217)</f>
        <v/>
      </c>
    </row>
    <row r="218" customFormat="false" ht="15" hidden="false" customHeight="false" outlineLevel="0" collapsed="false">
      <c r="A218" s="25"/>
      <c r="B218" s="20"/>
      <c r="C218" s="7" t="str">
        <f aca="false">IF(B218="","",IFERROR(INDEX(Productos!$A$5:$A$104,MATCH(B218,Productos!$B$5:$B$104,0)),""))</f>
        <v/>
      </c>
      <c r="D218" s="7" t="str">
        <f aca="false">IF(B218="","",IFERROR(INDEX(Productos!$D$5:$D$104,MATCH(B218,Productos!$B$5:$B$104,0)),""))</f>
        <v/>
      </c>
      <c r="E218" s="21"/>
      <c r="F218" s="11" t="str">
        <f aca="false">IF(B218="","",IFERROR(INDEX(Productos!$F$5:$F$104,MATCH(B218,Productos!$B$5:$B$104,0)),0))</f>
        <v/>
      </c>
      <c r="G218" s="11" t="str">
        <f aca="false">IF(B218="","",E218*F218)</f>
        <v/>
      </c>
    </row>
    <row r="219" customFormat="false" ht="15" hidden="false" customHeight="false" outlineLevel="0" collapsed="false">
      <c r="A219" s="25"/>
      <c r="B219" s="20"/>
      <c r="C219" s="7" t="str">
        <f aca="false">IF(B219="","",IFERROR(INDEX(Productos!$A$5:$A$104,MATCH(B219,Productos!$B$5:$B$104,0)),""))</f>
        <v/>
      </c>
      <c r="D219" s="7" t="str">
        <f aca="false">IF(B219="","",IFERROR(INDEX(Productos!$D$5:$D$104,MATCH(B219,Productos!$B$5:$B$104,0)),""))</f>
        <v/>
      </c>
      <c r="E219" s="21"/>
      <c r="F219" s="11" t="str">
        <f aca="false">IF(B219="","",IFERROR(INDEX(Productos!$F$5:$F$104,MATCH(B219,Productos!$B$5:$B$104,0)),0))</f>
        <v/>
      </c>
      <c r="G219" s="11" t="str">
        <f aca="false">IF(B219="","",E219*F219)</f>
        <v/>
      </c>
    </row>
    <row r="220" customFormat="false" ht="15" hidden="false" customHeight="false" outlineLevel="0" collapsed="false">
      <c r="A220" s="25"/>
      <c r="B220" s="20"/>
      <c r="C220" s="7" t="str">
        <f aca="false">IF(B220="","",IFERROR(INDEX(Productos!$A$5:$A$104,MATCH(B220,Productos!$B$5:$B$104,0)),""))</f>
        <v/>
      </c>
      <c r="D220" s="7" t="str">
        <f aca="false">IF(B220="","",IFERROR(INDEX(Productos!$D$5:$D$104,MATCH(B220,Productos!$B$5:$B$104,0)),""))</f>
        <v/>
      </c>
      <c r="E220" s="21"/>
      <c r="F220" s="11" t="str">
        <f aca="false">IF(B220="","",IFERROR(INDEX(Productos!$F$5:$F$104,MATCH(B220,Productos!$B$5:$B$104,0)),0))</f>
        <v/>
      </c>
      <c r="G220" s="11" t="str">
        <f aca="false">IF(B220="","",E220*F220)</f>
        <v/>
      </c>
    </row>
    <row r="221" customFormat="false" ht="15" hidden="false" customHeight="false" outlineLevel="0" collapsed="false">
      <c r="A221" s="25"/>
      <c r="B221" s="20"/>
      <c r="C221" s="7" t="str">
        <f aca="false">IF(B221="","",IFERROR(INDEX(Productos!$A$5:$A$104,MATCH(B221,Productos!$B$5:$B$104,0)),""))</f>
        <v/>
      </c>
      <c r="D221" s="7" t="str">
        <f aca="false">IF(B221="","",IFERROR(INDEX(Productos!$D$5:$D$104,MATCH(B221,Productos!$B$5:$B$104,0)),""))</f>
        <v/>
      </c>
      <c r="E221" s="21"/>
      <c r="F221" s="11" t="str">
        <f aca="false">IF(B221="","",IFERROR(INDEX(Productos!$F$5:$F$104,MATCH(B221,Productos!$B$5:$B$104,0)),0))</f>
        <v/>
      </c>
      <c r="G221" s="11" t="str">
        <f aca="false">IF(B221="","",E221*F221)</f>
        <v/>
      </c>
    </row>
    <row r="222" customFormat="false" ht="15" hidden="false" customHeight="false" outlineLevel="0" collapsed="false">
      <c r="A222" s="25"/>
      <c r="B222" s="20"/>
      <c r="C222" s="7" t="str">
        <f aca="false">IF(B222="","",IFERROR(INDEX(Productos!$A$5:$A$104,MATCH(B222,Productos!$B$5:$B$104,0)),""))</f>
        <v/>
      </c>
      <c r="D222" s="7" t="str">
        <f aca="false">IF(B222="","",IFERROR(INDEX(Productos!$D$5:$D$104,MATCH(B222,Productos!$B$5:$B$104,0)),""))</f>
        <v/>
      </c>
      <c r="E222" s="21"/>
      <c r="F222" s="11" t="str">
        <f aca="false">IF(B222="","",IFERROR(INDEX(Productos!$F$5:$F$104,MATCH(B222,Productos!$B$5:$B$104,0)),0))</f>
        <v/>
      </c>
      <c r="G222" s="11" t="str">
        <f aca="false">IF(B222="","",E222*F222)</f>
        <v/>
      </c>
    </row>
    <row r="223" customFormat="false" ht="15" hidden="false" customHeight="false" outlineLevel="0" collapsed="false">
      <c r="A223" s="25"/>
      <c r="B223" s="20"/>
      <c r="C223" s="7" t="str">
        <f aca="false">IF(B223="","",IFERROR(INDEX(Productos!$A$5:$A$104,MATCH(B223,Productos!$B$5:$B$104,0)),""))</f>
        <v/>
      </c>
      <c r="D223" s="7" t="str">
        <f aca="false">IF(B223="","",IFERROR(INDEX(Productos!$D$5:$D$104,MATCH(B223,Productos!$B$5:$B$104,0)),""))</f>
        <v/>
      </c>
      <c r="E223" s="21"/>
      <c r="F223" s="11" t="str">
        <f aca="false">IF(B223="","",IFERROR(INDEX(Productos!$F$5:$F$104,MATCH(B223,Productos!$B$5:$B$104,0)),0))</f>
        <v/>
      </c>
      <c r="G223" s="11" t="str">
        <f aca="false">IF(B223="","",E223*F223)</f>
        <v/>
      </c>
    </row>
    <row r="224" customFormat="false" ht="15" hidden="false" customHeight="false" outlineLevel="0" collapsed="false">
      <c r="A224" s="25"/>
      <c r="B224" s="20"/>
      <c r="C224" s="7" t="str">
        <f aca="false">IF(B224="","",IFERROR(INDEX(Productos!$A$5:$A$104,MATCH(B224,Productos!$B$5:$B$104,0)),""))</f>
        <v/>
      </c>
      <c r="D224" s="7" t="str">
        <f aca="false">IF(B224="","",IFERROR(INDEX(Productos!$D$5:$D$104,MATCH(B224,Productos!$B$5:$B$104,0)),""))</f>
        <v/>
      </c>
      <c r="E224" s="21"/>
      <c r="F224" s="11" t="str">
        <f aca="false">IF(B224="","",IFERROR(INDEX(Productos!$F$5:$F$104,MATCH(B224,Productos!$B$5:$B$104,0)),0))</f>
        <v/>
      </c>
      <c r="G224" s="11" t="str">
        <f aca="false">IF(B224="","",E224*F224)</f>
        <v/>
      </c>
    </row>
    <row r="225" customFormat="false" ht="15" hidden="false" customHeight="false" outlineLevel="0" collapsed="false">
      <c r="A225" s="25"/>
      <c r="B225" s="20"/>
      <c r="C225" s="7" t="str">
        <f aca="false">IF(B225="","",IFERROR(INDEX(Productos!$A$5:$A$104,MATCH(B225,Productos!$B$5:$B$104,0)),""))</f>
        <v/>
      </c>
      <c r="D225" s="7" t="str">
        <f aca="false">IF(B225="","",IFERROR(INDEX(Productos!$D$5:$D$104,MATCH(B225,Productos!$B$5:$B$104,0)),""))</f>
        <v/>
      </c>
      <c r="E225" s="21"/>
      <c r="F225" s="11" t="str">
        <f aca="false">IF(B225="","",IFERROR(INDEX(Productos!$F$5:$F$104,MATCH(B225,Productos!$B$5:$B$104,0)),0))</f>
        <v/>
      </c>
      <c r="G225" s="11" t="str">
        <f aca="false">IF(B225="","",E225*F225)</f>
        <v/>
      </c>
    </row>
    <row r="226" customFormat="false" ht="15" hidden="false" customHeight="false" outlineLevel="0" collapsed="false">
      <c r="A226" s="25"/>
      <c r="B226" s="20"/>
      <c r="C226" s="7" t="str">
        <f aca="false">IF(B226="","",IFERROR(INDEX(Productos!$A$5:$A$104,MATCH(B226,Productos!$B$5:$B$104,0)),""))</f>
        <v/>
      </c>
      <c r="D226" s="7" t="str">
        <f aca="false">IF(B226="","",IFERROR(INDEX(Productos!$D$5:$D$104,MATCH(B226,Productos!$B$5:$B$104,0)),""))</f>
        <v/>
      </c>
      <c r="E226" s="21"/>
      <c r="F226" s="11" t="str">
        <f aca="false">IF(B226="","",IFERROR(INDEX(Productos!$F$5:$F$104,MATCH(B226,Productos!$B$5:$B$104,0)),0))</f>
        <v/>
      </c>
      <c r="G226" s="11" t="str">
        <f aca="false">IF(B226="","",E226*F226)</f>
        <v/>
      </c>
    </row>
    <row r="227" customFormat="false" ht="15" hidden="false" customHeight="false" outlineLevel="0" collapsed="false">
      <c r="A227" s="25"/>
      <c r="B227" s="20"/>
      <c r="C227" s="7" t="str">
        <f aca="false">IF(B227="","",IFERROR(INDEX(Productos!$A$5:$A$104,MATCH(B227,Productos!$B$5:$B$104,0)),""))</f>
        <v/>
      </c>
      <c r="D227" s="7" t="str">
        <f aca="false">IF(B227="","",IFERROR(INDEX(Productos!$D$5:$D$104,MATCH(B227,Productos!$B$5:$B$104,0)),""))</f>
        <v/>
      </c>
      <c r="E227" s="21"/>
      <c r="F227" s="11" t="str">
        <f aca="false">IF(B227="","",IFERROR(INDEX(Productos!$F$5:$F$104,MATCH(B227,Productos!$B$5:$B$104,0)),0))</f>
        <v/>
      </c>
      <c r="G227" s="11" t="str">
        <f aca="false">IF(B227="","",E227*F227)</f>
        <v/>
      </c>
    </row>
    <row r="228" customFormat="false" ht="15" hidden="false" customHeight="false" outlineLevel="0" collapsed="false">
      <c r="A228" s="25"/>
      <c r="B228" s="20"/>
      <c r="C228" s="7" t="str">
        <f aca="false">IF(B228="","",IFERROR(INDEX(Productos!$A$5:$A$104,MATCH(B228,Productos!$B$5:$B$104,0)),""))</f>
        <v/>
      </c>
      <c r="D228" s="7" t="str">
        <f aca="false">IF(B228="","",IFERROR(INDEX(Productos!$D$5:$D$104,MATCH(B228,Productos!$B$5:$B$104,0)),""))</f>
        <v/>
      </c>
      <c r="E228" s="21"/>
      <c r="F228" s="11" t="str">
        <f aca="false">IF(B228="","",IFERROR(INDEX(Productos!$F$5:$F$104,MATCH(B228,Productos!$B$5:$B$104,0)),0))</f>
        <v/>
      </c>
      <c r="G228" s="11" t="str">
        <f aca="false">IF(B228="","",E228*F228)</f>
        <v/>
      </c>
    </row>
    <row r="229" customFormat="false" ht="15" hidden="false" customHeight="false" outlineLevel="0" collapsed="false">
      <c r="A229" s="25"/>
      <c r="B229" s="20"/>
      <c r="C229" s="7" t="str">
        <f aca="false">IF(B229="","",IFERROR(INDEX(Productos!$A$5:$A$104,MATCH(B229,Productos!$B$5:$B$104,0)),""))</f>
        <v/>
      </c>
      <c r="D229" s="7" t="str">
        <f aca="false">IF(B229="","",IFERROR(INDEX(Productos!$D$5:$D$104,MATCH(B229,Productos!$B$5:$B$104,0)),""))</f>
        <v/>
      </c>
      <c r="E229" s="21"/>
      <c r="F229" s="11" t="str">
        <f aca="false">IF(B229="","",IFERROR(INDEX(Productos!$F$5:$F$104,MATCH(B229,Productos!$B$5:$B$104,0)),0))</f>
        <v/>
      </c>
      <c r="G229" s="11" t="str">
        <f aca="false">IF(B229="","",E229*F229)</f>
        <v/>
      </c>
    </row>
    <row r="230" customFormat="false" ht="15" hidden="false" customHeight="false" outlineLevel="0" collapsed="false">
      <c r="A230" s="25"/>
      <c r="B230" s="20"/>
      <c r="C230" s="7" t="str">
        <f aca="false">IF(B230="","",IFERROR(INDEX(Productos!$A$5:$A$104,MATCH(B230,Productos!$B$5:$B$104,0)),""))</f>
        <v/>
      </c>
      <c r="D230" s="7" t="str">
        <f aca="false">IF(B230="","",IFERROR(INDEX(Productos!$D$5:$D$104,MATCH(B230,Productos!$B$5:$B$104,0)),""))</f>
        <v/>
      </c>
      <c r="E230" s="21"/>
      <c r="F230" s="11" t="str">
        <f aca="false">IF(B230="","",IFERROR(INDEX(Productos!$F$5:$F$104,MATCH(B230,Productos!$B$5:$B$104,0)),0))</f>
        <v/>
      </c>
      <c r="G230" s="11" t="str">
        <f aca="false">IF(B230="","",E230*F230)</f>
        <v/>
      </c>
    </row>
    <row r="231" customFormat="false" ht="15" hidden="false" customHeight="false" outlineLevel="0" collapsed="false">
      <c r="A231" s="25"/>
      <c r="B231" s="20"/>
      <c r="C231" s="7" t="str">
        <f aca="false">IF(B231="","",IFERROR(INDEX(Productos!$A$5:$A$104,MATCH(B231,Productos!$B$5:$B$104,0)),""))</f>
        <v/>
      </c>
      <c r="D231" s="7" t="str">
        <f aca="false">IF(B231="","",IFERROR(INDEX(Productos!$D$5:$D$104,MATCH(B231,Productos!$B$5:$B$104,0)),""))</f>
        <v/>
      </c>
      <c r="E231" s="21"/>
      <c r="F231" s="11" t="str">
        <f aca="false">IF(B231="","",IFERROR(INDEX(Productos!$F$5:$F$104,MATCH(B231,Productos!$B$5:$B$104,0)),0))</f>
        <v/>
      </c>
      <c r="G231" s="11" t="str">
        <f aca="false">IF(B231="","",E231*F231)</f>
        <v/>
      </c>
    </row>
    <row r="232" customFormat="false" ht="15" hidden="false" customHeight="false" outlineLevel="0" collapsed="false">
      <c r="A232" s="25"/>
      <c r="B232" s="20"/>
      <c r="C232" s="7" t="str">
        <f aca="false">IF(B232="","",IFERROR(INDEX(Productos!$A$5:$A$104,MATCH(B232,Productos!$B$5:$B$104,0)),""))</f>
        <v/>
      </c>
      <c r="D232" s="7" t="str">
        <f aca="false">IF(B232="","",IFERROR(INDEX(Productos!$D$5:$D$104,MATCH(B232,Productos!$B$5:$B$104,0)),""))</f>
        <v/>
      </c>
      <c r="E232" s="21"/>
      <c r="F232" s="11" t="str">
        <f aca="false">IF(B232="","",IFERROR(INDEX(Productos!$F$5:$F$104,MATCH(B232,Productos!$B$5:$B$104,0)),0))</f>
        <v/>
      </c>
      <c r="G232" s="11" t="str">
        <f aca="false">IF(B232="","",E232*F232)</f>
        <v/>
      </c>
    </row>
    <row r="233" customFormat="false" ht="15" hidden="false" customHeight="false" outlineLevel="0" collapsed="false">
      <c r="A233" s="25"/>
      <c r="B233" s="20"/>
      <c r="C233" s="7" t="str">
        <f aca="false">IF(B233="","",IFERROR(INDEX(Productos!$A$5:$A$104,MATCH(B233,Productos!$B$5:$B$104,0)),""))</f>
        <v/>
      </c>
      <c r="D233" s="7" t="str">
        <f aca="false">IF(B233="","",IFERROR(INDEX(Productos!$D$5:$D$104,MATCH(B233,Productos!$B$5:$B$104,0)),""))</f>
        <v/>
      </c>
      <c r="E233" s="21"/>
      <c r="F233" s="11" t="str">
        <f aca="false">IF(B233="","",IFERROR(INDEX(Productos!$F$5:$F$104,MATCH(B233,Productos!$B$5:$B$104,0)),0))</f>
        <v/>
      </c>
      <c r="G233" s="11" t="str">
        <f aca="false">IF(B233="","",E233*F233)</f>
        <v/>
      </c>
    </row>
    <row r="234" customFormat="false" ht="15" hidden="false" customHeight="false" outlineLevel="0" collapsed="false">
      <c r="A234" s="25"/>
      <c r="B234" s="20"/>
      <c r="C234" s="7" t="str">
        <f aca="false">IF(B234="","",IFERROR(INDEX(Productos!$A$5:$A$104,MATCH(B234,Productos!$B$5:$B$104,0)),""))</f>
        <v/>
      </c>
      <c r="D234" s="7" t="str">
        <f aca="false">IF(B234="","",IFERROR(INDEX(Productos!$D$5:$D$104,MATCH(B234,Productos!$B$5:$B$104,0)),""))</f>
        <v/>
      </c>
      <c r="E234" s="21"/>
      <c r="F234" s="11" t="str">
        <f aca="false">IF(B234="","",IFERROR(INDEX(Productos!$F$5:$F$104,MATCH(B234,Productos!$B$5:$B$104,0)),0))</f>
        <v/>
      </c>
      <c r="G234" s="11" t="str">
        <f aca="false">IF(B234="","",E234*F234)</f>
        <v/>
      </c>
    </row>
    <row r="235" customFormat="false" ht="15" hidden="false" customHeight="false" outlineLevel="0" collapsed="false">
      <c r="A235" s="25"/>
      <c r="B235" s="20"/>
      <c r="C235" s="7" t="str">
        <f aca="false">IF(B235="","",IFERROR(INDEX(Productos!$A$5:$A$104,MATCH(B235,Productos!$B$5:$B$104,0)),""))</f>
        <v/>
      </c>
      <c r="D235" s="7" t="str">
        <f aca="false">IF(B235="","",IFERROR(INDEX(Productos!$D$5:$D$104,MATCH(B235,Productos!$B$5:$B$104,0)),""))</f>
        <v/>
      </c>
      <c r="E235" s="21"/>
      <c r="F235" s="11" t="str">
        <f aca="false">IF(B235="","",IFERROR(INDEX(Productos!$F$5:$F$104,MATCH(B235,Productos!$B$5:$B$104,0)),0))</f>
        <v/>
      </c>
      <c r="G235" s="11" t="str">
        <f aca="false">IF(B235="","",E235*F235)</f>
        <v/>
      </c>
    </row>
    <row r="236" customFormat="false" ht="15" hidden="false" customHeight="false" outlineLevel="0" collapsed="false">
      <c r="A236" s="25"/>
      <c r="B236" s="20"/>
      <c r="C236" s="7" t="str">
        <f aca="false">IF(B236="","",IFERROR(INDEX(Productos!$A$5:$A$104,MATCH(B236,Productos!$B$5:$B$104,0)),""))</f>
        <v/>
      </c>
      <c r="D236" s="7" t="str">
        <f aca="false">IF(B236="","",IFERROR(INDEX(Productos!$D$5:$D$104,MATCH(B236,Productos!$B$5:$B$104,0)),""))</f>
        <v/>
      </c>
      <c r="E236" s="21"/>
      <c r="F236" s="11" t="str">
        <f aca="false">IF(B236="","",IFERROR(INDEX(Productos!$F$5:$F$104,MATCH(B236,Productos!$B$5:$B$104,0)),0))</f>
        <v/>
      </c>
      <c r="G236" s="11" t="str">
        <f aca="false">IF(B236="","",E236*F236)</f>
        <v/>
      </c>
    </row>
    <row r="237" customFormat="false" ht="15" hidden="false" customHeight="false" outlineLevel="0" collapsed="false">
      <c r="A237" s="25"/>
      <c r="B237" s="20"/>
      <c r="C237" s="7" t="str">
        <f aca="false">IF(B237="","",IFERROR(INDEX(Productos!$A$5:$A$104,MATCH(B237,Productos!$B$5:$B$104,0)),""))</f>
        <v/>
      </c>
      <c r="D237" s="7" t="str">
        <f aca="false">IF(B237="","",IFERROR(INDEX(Productos!$D$5:$D$104,MATCH(B237,Productos!$B$5:$B$104,0)),""))</f>
        <v/>
      </c>
      <c r="E237" s="21"/>
      <c r="F237" s="11" t="str">
        <f aca="false">IF(B237="","",IFERROR(INDEX(Productos!$F$5:$F$104,MATCH(B237,Productos!$B$5:$B$104,0)),0))</f>
        <v/>
      </c>
      <c r="G237" s="11" t="str">
        <f aca="false">IF(B237="","",E237*F237)</f>
        <v/>
      </c>
    </row>
    <row r="238" customFormat="false" ht="15" hidden="false" customHeight="false" outlineLevel="0" collapsed="false">
      <c r="A238" s="25"/>
      <c r="B238" s="20"/>
      <c r="C238" s="7" t="str">
        <f aca="false">IF(B238="","",IFERROR(INDEX(Productos!$A$5:$A$104,MATCH(B238,Productos!$B$5:$B$104,0)),""))</f>
        <v/>
      </c>
      <c r="D238" s="7" t="str">
        <f aca="false">IF(B238="","",IFERROR(INDEX(Productos!$D$5:$D$104,MATCH(B238,Productos!$B$5:$B$104,0)),""))</f>
        <v/>
      </c>
      <c r="E238" s="21"/>
      <c r="F238" s="11" t="str">
        <f aca="false">IF(B238="","",IFERROR(INDEX(Productos!$F$5:$F$104,MATCH(B238,Productos!$B$5:$B$104,0)),0))</f>
        <v/>
      </c>
      <c r="G238" s="11" t="str">
        <f aca="false">IF(B238="","",E238*F238)</f>
        <v/>
      </c>
    </row>
    <row r="239" customFormat="false" ht="15" hidden="false" customHeight="false" outlineLevel="0" collapsed="false">
      <c r="A239" s="25"/>
      <c r="B239" s="20"/>
      <c r="C239" s="7" t="str">
        <f aca="false">IF(B239="","",IFERROR(INDEX(Productos!$A$5:$A$104,MATCH(B239,Productos!$B$5:$B$104,0)),""))</f>
        <v/>
      </c>
      <c r="D239" s="7" t="str">
        <f aca="false">IF(B239="","",IFERROR(INDEX(Productos!$D$5:$D$104,MATCH(B239,Productos!$B$5:$B$104,0)),""))</f>
        <v/>
      </c>
      <c r="E239" s="21"/>
      <c r="F239" s="11" t="str">
        <f aca="false">IF(B239="","",IFERROR(INDEX(Productos!$F$5:$F$104,MATCH(B239,Productos!$B$5:$B$104,0)),0))</f>
        <v/>
      </c>
      <c r="G239" s="11" t="str">
        <f aca="false">IF(B239="","",E239*F239)</f>
        <v/>
      </c>
    </row>
    <row r="240" customFormat="false" ht="15" hidden="false" customHeight="false" outlineLevel="0" collapsed="false">
      <c r="A240" s="25"/>
      <c r="B240" s="20"/>
      <c r="C240" s="7" t="str">
        <f aca="false">IF(B240="","",IFERROR(INDEX(Productos!$A$5:$A$104,MATCH(B240,Productos!$B$5:$B$104,0)),""))</f>
        <v/>
      </c>
      <c r="D240" s="7" t="str">
        <f aca="false">IF(B240="","",IFERROR(INDEX(Productos!$D$5:$D$104,MATCH(B240,Productos!$B$5:$B$104,0)),""))</f>
        <v/>
      </c>
      <c r="E240" s="21"/>
      <c r="F240" s="11" t="str">
        <f aca="false">IF(B240="","",IFERROR(INDEX(Productos!$F$5:$F$104,MATCH(B240,Productos!$B$5:$B$104,0)),0))</f>
        <v/>
      </c>
      <c r="G240" s="11" t="str">
        <f aca="false">IF(B240="","",E240*F240)</f>
        <v/>
      </c>
    </row>
    <row r="241" customFormat="false" ht="15" hidden="false" customHeight="false" outlineLevel="0" collapsed="false">
      <c r="A241" s="25"/>
      <c r="B241" s="20"/>
      <c r="C241" s="7" t="str">
        <f aca="false">IF(B241="","",IFERROR(INDEX(Productos!$A$5:$A$104,MATCH(B241,Productos!$B$5:$B$104,0)),""))</f>
        <v/>
      </c>
      <c r="D241" s="7" t="str">
        <f aca="false">IF(B241="","",IFERROR(INDEX(Productos!$D$5:$D$104,MATCH(B241,Productos!$B$5:$B$104,0)),""))</f>
        <v/>
      </c>
      <c r="E241" s="21"/>
      <c r="F241" s="11" t="str">
        <f aca="false">IF(B241="","",IFERROR(INDEX(Productos!$F$5:$F$104,MATCH(B241,Productos!$B$5:$B$104,0)),0))</f>
        <v/>
      </c>
      <c r="G241" s="11" t="str">
        <f aca="false">IF(B241="","",E241*F241)</f>
        <v/>
      </c>
    </row>
    <row r="242" customFormat="false" ht="15" hidden="false" customHeight="false" outlineLevel="0" collapsed="false">
      <c r="A242" s="25"/>
      <c r="B242" s="20"/>
      <c r="C242" s="7" t="str">
        <f aca="false">IF(B242="","",IFERROR(INDEX(Productos!$A$5:$A$104,MATCH(B242,Productos!$B$5:$B$104,0)),""))</f>
        <v/>
      </c>
      <c r="D242" s="7" t="str">
        <f aca="false">IF(B242="","",IFERROR(INDEX(Productos!$D$5:$D$104,MATCH(B242,Productos!$B$5:$B$104,0)),""))</f>
        <v/>
      </c>
      <c r="E242" s="21"/>
      <c r="F242" s="11" t="str">
        <f aca="false">IF(B242="","",IFERROR(INDEX(Productos!$F$5:$F$104,MATCH(B242,Productos!$B$5:$B$104,0)),0))</f>
        <v/>
      </c>
      <c r="G242" s="11" t="str">
        <f aca="false">IF(B242="","",E242*F242)</f>
        <v/>
      </c>
    </row>
    <row r="243" customFormat="false" ht="15" hidden="false" customHeight="false" outlineLevel="0" collapsed="false">
      <c r="A243" s="25"/>
      <c r="B243" s="20"/>
      <c r="C243" s="7" t="str">
        <f aca="false">IF(B243="","",IFERROR(INDEX(Productos!$A$5:$A$104,MATCH(B243,Productos!$B$5:$B$104,0)),""))</f>
        <v/>
      </c>
      <c r="D243" s="7" t="str">
        <f aca="false">IF(B243="","",IFERROR(INDEX(Productos!$D$5:$D$104,MATCH(B243,Productos!$B$5:$B$104,0)),""))</f>
        <v/>
      </c>
      <c r="E243" s="21"/>
      <c r="F243" s="11" t="str">
        <f aca="false">IF(B243="","",IFERROR(INDEX(Productos!$F$5:$F$104,MATCH(B243,Productos!$B$5:$B$104,0)),0))</f>
        <v/>
      </c>
      <c r="G243" s="11" t="str">
        <f aca="false">IF(B243="","",E243*F243)</f>
        <v/>
      </c>
    </row>
    <row r="244" customFormat="false" ht="15" hidden="false" customHeight="false" outlineLevel="0" collapsed="false">
      <c r="A244" s="25"/>
      <c r="B244" s="20"/>
      <c r="C244" s="7" t="str">
        <f aca="false">IF(B244="","",IFERROR(INDEX(Productos!$A$5:$A$104,MATCH(B244,Productos!$B$5:$B$104,0)),""))</f>
        <v/>
      </c>
      <c r="D244" s="7" t="str">
        <f aca="false">IF(B244="","",IFERROR(INDEX(Productos!$D$5:$D$104,MATCH(B244,Productos!$B$5:$B$104,0)),""))</f>
        <v/>
      </c>
      <c r="E244" s="21"/>
      <c r="F244" s="11" t="str">
        <f aca="false">IF(B244="","",IFERROR(INDEX(Productos!$F$5:$F$104,MATCH(B244,Productos!$B$5:$B$104,0)),0))</f>
        <v/>
      </c>
      <c r="G244" s="11" t="str">
        <f aca="false">IF(B244="","",E244*F244)</f>
        <v/>
      </c>
    </row>
    <row r="245" customFormat="false" ht="15" hidden="false" customHeight="false" outlineLevel="0" collapsed="false">
      <c r="A245" s="25"/>
      <c r="B245" s="20"/>
      <c r="C245" s="7" t="str">
        <f aca="false">IF(B245="","",IFERROR(INDEX(Productos!$A$5:$A$104,MATCH(B245,Productos!$B$5:$B$104,0)),""))</f>
        <v/>
      </c>
      <c r="D245" s="7" t="str">
        <f aca="false">IF(B245="","",IFERROR(INDEX(Productos!$D$5:$D$104,MATCH(B245,Productos!$B$5:$B$104,0)),""))</f>
        <v/>
      </c>
      <c r="E245" s="21"/>
      <c r="F245" s="11" t="str">
        <f aca="false">IF(B245="","",IFERROR(INDEX(Productos!$F$5:$F$104,MATCH(B245,Productos!$B$5:$B$104,0)),0))</f>
        <v/>
      </c>
      <c r="G245" s="11" t="str">
        <f aca="false">IF(B245="","",E245*F245)</f>
        <v/>
      </c>
    </row>
    <row r="246" customFormat="false" ht="15" hidden="false" customHeight="false" outlineLevel="0" collapsed="false">
      <c r="A246" s="25"/>
      <c r="B246" s="20"/>
      <c r="C246" s="7" t="str">
        <f aca="false">IF(B246="","",IFERROR(INDEX(Productos!$A$5:$A$104,MATCH(B246,Productos!$B$5:$B$104,0)),""))</f>
        <v/>
      </c>
      <c r="D246" s="7" t="str">
        <f aca="false">IF(B246="","",IFERROR(INDEX(Productos!$D$5:$D$104,MATCH(B246,Productos!$B$5:$B$104,0)),""))</f>
        <v/>
      </c>
      <c r="E246" s="21"/>
      <c r="F246" s="11" t="str">
        <f aca="false">IF(B246="","",IFERROR(INDEX(Productos!$F$5:$F$104,MATCH(B246,Productos!$B$5:$B$104,0)),0))</f>
        <v/>
      </c>
      <c r="G246" s="11" t="str">
        <f aca="false">IF(B246="","",E246*F246)</f>
        <v/>
      </c>
    </row>
    <row r="247" customFormat="false" ht="15" hidden="false" customHeight="false" outlineLevel="0" collapsed="false">
      <c r="A247" s="25"/>
      <c r="B247" s="20"/>
      <c r="C247" s="7" t="str">
        <f aca="false">IF(B247="","",IFERROR(INDEX(Productos!$A$5:$A$104,MATCH(B247,Productos!$B$5:$B$104,0)),""))</f>
        <v/>
      </c>
      <c r="D247" s="7" t="str">
        <f aca="false">IF(B247="","",IFERROR(INDEX(Productos!$D$5:$D$104,MATCH(B247,Productos!$B$5:$B$104,0)),""))</f>
        <v/>
      </c>
      <c r="E247" s="21"/>
      <c r="F247" s="11" t="str">
        <f aca="false">IF(B247="","",IFERROR(INDEX(Productos!$F$5:$F$104,MATCH(B247,Productos!$B$5:$B$104,0)),0))</f>
        <v/>
      </c>
      <c r="G247" s="11" t="str">
        <f aca="false">IF(B247="","",E247*F247)</f>
        <v/>
      </c>
    </row>
    <row r="248" customFormat="false" ht="15" hidden="false" customHeight="false" outlineLevel="0" collapsed="false">
      <c r="A248" s="25"/>
      <c r="B248" s="20"/>
      <c r="C248" s="7" t="str">
        <f aca="false">IF(B248="","",IFERROR(INDEX(Productos!$A$5:$A$104,MATCH(B248,Productos!$B$5:$B$104,0)),""))</f>
        <v/>
      </c>
      <c r="D248" s="7" t="str">
        <f aca="false">IF(B248="","",IFERROR(INDEX(Productos!$D$5:$D$104,MATCH(B248,Productos!$B$5:$B$104,0)),""))</f>
        <v/>
      </c>
      <c r="E248" s="21"/>
      <c r="F248" s="11" t="str">
        <f aca="false">IF(B248="","",IFERROR(INDEX(Productos!$F$5:$F$104,MATCH(B248,Productos!$B$5:$B$104,0)),0))</f>
        <v/>
      </c>
      <c r="G248" s="11" t="str">
        <f aca="false">IF(B248="","",E248*F248)</f>
        <v/>
      </c>
    </row>
    <row r="249" customFormat="false" ht="15" hidden="false" customHeight="false" outlineLevel="0" collapsed="false">
      <c r="A249" s="25"/>
      <c r="B249" s="20"/>
      <c r="C249" s="7" t="str">
        <f aca="false">IF(B249="","",IFERROR(INDEX(Productos!$A$5:$A$104,MATCH(B249,Productos!$B$5:$B$104,0)),""))</f>
        <v/>
      </c>
      <c r="D249" s="7" t="str">
        <f aca="false">IF(B249="","",IFERROR(INDEX(Productos!$D$5:$D$104,MATCH(B249,Productos!$B$5:$B$104,0)),""))</f>
        <v/>
      </c>
      <c r="E249" s="21"/>
      <c r="F249" s="11" t="str">
        <f aca="false">IF(B249="","",IFERROR(INDEX(Productos!$F$5:$F$104,MATCH(B249,Productos!$B$5:$B$104,0)),0))</f>
        <v/>
      </c>
      <c r="G249" s="11" t="str">
        <f aca="false">IF(B249="","",E249*F249)</f>
        <v/>
      </c>
    </row>
    <row r="250" customFormat="false" ht="15" hidden="false" customHeight="false" outlineLevel="0" collapsed="false">
      <c r="A250" s="25"/>
      <c r="B250" s="20"/>
      <c r="C250" s="7" t="str">
        <f aca="false">IF(B250="","",IFERROR(INDEX(Productos!$A$5:$A$104,MATCH(B250,Productos!$B$5:$B$104,0)),""))</f>
        <v/>
      </c>
      <c r="D250" s="7" t="str">
        <f aca="false">IF(B250="","",IFERROR(INDEX(Productos!$D$5:$D$104,MATCH(B250,Productos!$B$5:$B$104,0)),""))</f>
        <v/>
      </c>
      <c r="E250" s="21"/>
      <c r="F250" s="11" t="str">
        <f aca="false">IF(B250="","",IFERROR(INDEX(Productos!$F$5:$F$104,MATCH(B250,Productos!$B$5:$B$104,0)),0))</f>
        <v/>
      </c>
      <c r="G250" s="11" t="str">
        <f aca="false">IF(B250="","",E250*F250)</f>
        <v/>
      </c>
    </row>
    <row r="251" customFormat="false" ht="15" hidden="false" customHeight="false" outlineLevel="0" collapsed="false">
      <c r="A251" s="25"/>
      <c r="B251" s="20"/>
      <c r="C251" s="7" t="str">
        <f aca="false">IF(B251="","",IFERROR(INDEX(Productos!$A$5:$A$104,MATCH(B251,Productos!$B$5:$B$104,0)),""))</f>
        <v/>
      </c>
      <c r="D251" s="7" t="str">
        <f aca="false">IF(B251="","",IFERROR(INDEX(Productos!$D$5:$D$104,MATCH(B251,Productos!$B$5:$B$104,0)),""))</f>
        <v/>
      </c>
      <c r="E251" s="21"/>
      <c r="F251" s="11" t="str">
        <f aca="false">IF(B251="","",IFERROR(INDEX(Productos!$F$5:$F$104,MATCH(B251,Productos!$B$5:$B$104,0)),0))</f>
        <v/>
      </c>
      <c r="G251" s="11" t="str">
        <f aca="false">IF(B251="","",E251*F251)</f>
        <v/>
      </c>
    </row>
    <row r="252" customFormat="false" ht="15" hidden="false" customHeight="false" outlineLevel="0" collapsed="false">
      <c r="A252" s="25"/>
      <c r="B252" s="20"/>
      <c r="C252" s="7" t="str">
        <f aca="false">IF(B252="","",IFERROR(INDEX(Productos!$A$5:$A$104,MATCH(B252,Productos!$B$5:$B$104,0)),""))</f>
        <v/>
      </c>
      <c r="D252" s="7" t="str">
        <f aca="false">IF(B252="","",IFERROR(INDEX(Productos!$D$5:$D$104,MATCH(B252,Productos!$B$5:$B$104,0)),""))</f>
        <v/>
      </c>
      <c r="E252" s="21"/>
      <c r="F252" s="11" t="str">
        <f aca="false">IF(B252="","",IFERROR(INDEX(Productos!$F$5:$F$104,MATCH(B252,Productos!$B$5:$B$104,0)),0))</f>
        <v/>
      </c>
      <c r="G252" s="11" t="str">
        <f aca="false">IF(B252="","",E252*F252)</f>
        <v/>
      </c>
    </row>
    <row r="253" customFormat="false" ht="15" hidden="false" customHeight="false" outlineLevel="0" collapsed="false">
      <c r="A253" s="25"/>
      <c r="B253" s="20"/>
      <c r="C253" s="7" t="str">
        <f aca="false">IF(B253="","",IFERROR(INDEX(Productos!$A$5:$A$104,MATCH(B253,Productos!$B$5:$B$104,0)),""))</f>
        <v/>
      </c>
      <c r="D253" s="7" t="str">
        <f aca="false">IF(B253="","",IFERROR(INDEX(Productos!$D$5:$D$104,MATCH(B253,Productos!$B$5:$B$104,0)),""))</f>
        <v/>
      </c>
      <c r="E253" s="21"/>
      <c r="F253" s="11" t="str">
        <f aca="false">IF(B253="","",IFERROR(INDEX(Productos!$F$5:$F$104,MATCH(B253,Productos!$B$5:$B$104,0)),0))</f>
        <v/>
      </c>
      <c r="G253" s="11" t="str">
        <f aca="false">IF(B253="","",E253*F253)</f>
        <v/>
      </c>
    </row>
    <row r="254" customFormat="false" ht="15" hidden="false" customHeight="false" outlineLevel="0" collapsed="false">
      <c r="A254" s="25"/>
      <c r="B254" s="20"/>
      <c r="C254" s="7" t="str">
        <f aca="false">IF(B254="","",IFERROR(INDEX(Productos!$A$5:$A$104,MATCH(B254,Productos!$B$5:$B$104,0)),""))</f>
        <v/>
      </c>
      <c r="D254" s="7" t="str">
        <f aca="false">IF(B254="","",IFERROR(INDEX(Productos!$D$5:$D$104,MATCH(B254,Productos!$B$5:$B$104,0)),""))</f>
        <v/>
      </c>
      <c r="E254" s="21"/>
      <c r="F254" s="11" t="str">
        <f aca="false">IF(B254="","",IFERROR(INDEX(Productos!$F$5:$F$104,MATCH(B254,Productos!$B$5:$B$104,0)),0))</f>
        <v/>
      </c>
      <c r="G254" s="11" t="str">
        <f aca="false">IF(B254="","",E254*F254)</f>
        <v/>
      </c>
    </row>
    <row r="255" customFormat="false" ht="15" hidden="false" customHeight="false" outlineLevel="0" collapsed="false">
      <c r="A255" s="25"/>
      <c r="B255" s="20"/>
      <c r="C255" s="7" t="str">
        <f aca="false">IF(B255="","",IFERROR(INDEX(Productos!$A$5:$A$104,MATCH(B255,Productos!$B$5:$B$104,0)),""))</f>
        <v/>
      </c>
      <c r="D255" s="7" t="str">
        <f aca="false">IF(B255="","",IFERROR(INDEX(Productos!$D$5:$D$104,MATCH(B255,Productos!$B$5:$B$104,0)),""))</f>
        <v/>
      </c>
      <c r="E255" s="21"/>
      <c r="F255" s="11" t="str">
        <f aca="false">IF(B255="","",IFERROR(INDEX(Productos!$F$5:$F$104,MATCH(B255,Productos!$B$5:$B$104,0)),0))</f>
        <v/>
      </c>
      <c r="G255" s="11" t="str">
        <f aca="false">IF(B255="","",E255*F255)</f>
        <v/>
      </c>
    </row>
    <row r="256" customFormat="false" ht="15" hidden="false" customHeight="false" outlineLevel="0" collapsed="false">
      <c r="A256" s="25"/>
      <c r="B256" s="20"/>
      <c r="C256" s="7" t="str">
        <f aca="false">IF(B256="","",IFERROR(INDEX(Productos!$A$5:$A$104,MATCH(B256,Productos!$B$5:$B$104,0)),""))</f>
        <v/>
      </c>
      <c r="D256" s="7" t="str">
        <f aca="false">IF(B256="","",IFERROR(INDEX(Productos!$D$5:$D$104,MATCH(B256,Productos!$B$5:$B$104,0)),""))</f>
        <v/>
      </c>
      <c r="E256" s="21"/>
      <c r="F256" s="11" t="str">
        <f aca="false">IF(B256="","",IFERROR(INDEX(Productos!$F$5:$F$104,MATCH(B256,Productos!$B$5:$B$104,0)),0))</f>
        <v/>
      </c>
      <c r="G256" s="11" t="str">
        <f aca="false">IF(B256="","",E256*F256)</f>
        <v/>
      </c>
    </row>
    <row r="257" customFormat="false" ht="15" hidden="false" customHeight="false" outlineLevel="0" collapsed="false">
      <c r="A257" s="25"/>
      <c r="B257" s="20"/>
      <c r="C257" s="7" t="str">
        <f aca="false">IF(B257="","",IFERROR(INDEX(Productos!$A$5:$A$104,MATCH(B257,Productos!$B$5:$B$104,0)),""))</f>
        <v/>
      </c>
      <c r="D257" s="7" t="str">
        <f aca="false">IF(B257="","",IFERROR(INDEX(Productos!$D$5:$D$104,MATCH(B257,Productos!$B$5:$B$104,0)),""))</f>
        <v/>
      </c>
      <c r="E257" s="21"/>
      <c r="F257" s="11" t="str">
        <f aca="false">IF(B257="","",IFERROR(INDEX(Productos!$F$5:$F$104,MATCH(B257,Productos!$B$5:$B$104,0)),0))</f>
        <v/>
      </c>
      <c r="G257" s="11" t="str">
        <f aca="false">IF(B257="","",E257*F257)</f>
        <v/>
      </c>
    </row>
    <row r="258" customFormat="false" ht="15" hidden="false" customHeight="false" outlineLevel="0" collapsed="false">
      <c r="A258" s="25"/>
      <c r="B258" s="20"/>
      <c r="C258" s="7" t="str">
        <f aca="false">IF(B258="","",IFERROR(INDEX(Productos!$A$5:$A$104,MATCH(B258,Productos!$B$5:$B$104,0)),""))</f>
        <v/>
      </c>
      <c r="D258" s="7" t="str">
        <f aca="false">IF(B258="","",IFERROR(INDEX(Productos!$D$5:$D$104,MATCH(B258,Productos!$B$5:$B$104,0)),""))</f>
        <v/>
      </c>
      <c r="E258" s="21"/>
      <c r="F258" s="11" t="str">
        <f aca="false">IF(B258="","",IFERROR(INDEX(Productos!$F$5:$F$104,MATCH(B258,Productos!$B$5:$B$104,0)),0))</f>
        <v/>
      </c>
      <c r="G258" s="11" t="str">
        <f aca="false">IF(B258="","",E258*F258)</f>
        <v/>
      </c>
    </row>
    <row r="259" customFormat="false" ht="15" hidden="false" customHeight="false" outlineLevel="0" collapsed="false">
      <c r="A259" s="25"/>
      <c r="B259" s="20"/>
      <c r="C259" s="7" t="str">
        <f aca="false">IF(B259="","",IFERROR(INDEX(Productos!$A$5:$A$104,MATCH(B259,Productos!$B$5:$B$104,0)),""))</f>
        <v/>
      </c>
      <c r="D259" s="7" t="str">
        <f aca="false">IF(B259="","",IFERROR(INDEX(Productos!$D$5:$D$104,MATCH(B259,Productos!$B$5:$B$104,0)),""))</f>
        <v/>
      </c>
      <c r="E259" s="21"/>
      <c r="F259" s="11" t="str">
        <f aca="false">IF(B259="","",IFERROR(INDEX(Productos!$F$5:$F$104,MATCH(B259,Productos!$B$5:$B$104,0)),0))</f>
        <v/>
      </c>
      <c r="G259" s="11" t="str">
        <f aca="false">IF(B259="","",E259*F259)</f>
        <v/>
      </c>
    </row>
    <row r="260" customFormat="false" ht="15" hidden="false" customHeight="false" outlineLevel="0" collapsed="false">
      <c r="A260" s="25"/>
      <c r="B260" s="20"/>
      <c r="C260" s="7" t="str">
        <f aca="false">IF(B260="","",IFERROR(INDEX(Productos!$A$5:$A$104,MATCH(B260,Productos!$B$5:$B$104,0)),""))</f>
        <v/>
      </c>
      <c r="D260" s="7" t="str">
        <f aca="false">IF(B260="","",IFERROR(INDEX(Productos!$D$5:$D$104,MATCH(B260,Productos!$B$5:$B$104,0)),""))</f>
        <v/>
      </c>
      <c r="E260" s="21"/>
      <c r="F260" s="11" t="str">
        <f aca="false">IF(B260="","",IFERROR(INDEX(Productos!$F$5:$F$104,MATCH(B260,Productos!$B$5:$B$104,0)),0))</f>
        <v/>
      </c>
      <c r="G260" s="11" t="str">
        <f aca="false">IF(B260="","",E260*F260)</f>
        <v/>
      </c>
    </row>
    <row r="261" customFormat="false" ht="15" hidden="false" customHeight="false" outlineLevel="0" collapsed="false">
      <c r="A261" s="25"/>
      <c r="B261" s="20"/>
      <c r="C261" s="7" t="str">
        <f aca="false">IF(B261="","",IFERROR(INDEX(Productos!$A$5:$A$104,MATCH(B261,Productos!$B$5:$B$104,0)),""))</f>
        <v/>
      </c>
      <c r="D261" s="7" t="str">
        <f aca="false">IF(B261="","",IFERROR(INDEX(Productos!$D$5:$D$104,MATCH(B261,Productos!$B$5:$B$104,0)),""))</f>
        <v/>
      </c>
      <c r="E261" s="21"/>
      <c r="F261" s="11" t="str">
        <f aca="false">IF(B261="","",IFERROR(INDEX(Productos!$F$5:$F$104,MATCH(B261,Productos!$B$5:$B$104,0)),0))</f>
        <v/>
      </c>
      <c r="G261" s="11" t="str">
        <f aca="false">IF(B261="","",E261*F261)</f>
        <v/>
      </c>
    </row>
    <row r="262" customFormat="false" ht="15" hidden="false" customHeight="false" outlineLevel="0" collapsed="false">
      <c r="A262" s="25"/>
      <c r="B262" s="20"/>
      <c r="C262" s="7" t="str">
        <f aca="false">IF(B262="","",IFERROR(INDEX(Productos!$A$5:$A$104,MATCH(B262,Productos!$B$5:$B$104,0)),""))</f>
        <v/>
      </c>
      <c r="D262" s="7" t="str">
        <f aca="false">IF(B262="","",IFERROR(INDEX(Productos!$D$5:$D$104,MATCH(B262,Productos!$B$5:$B$104,0)),""))</f>
        <v/>
      </c>
      <c r="E262" s="21"/>
      <c r="F262" s="11" t="str">
        <f aca="false">IF(B262="","",IFERROR(INDEX(Productos!$F$5:$F$104,MATCH(B262,Productos!$B$5:$B$104,0)),0))</f>
        <v/>
      </c>
      <c r="G262" s="11" t="str">
        <f aca="false">IF(B262="","",E262*F262)</f>
        <v/>
      </c>
    </row>
    <row r="263" customFormat="false" ht="15" hidden="false" customHeight="false" outlineLevel="0" collapsed="false">
      <c r="A263" s="25"/>
      <c r="B263" s="20"/>
      <c r="C263" s="7" t="str">
        <f aca="false">IF(B263="","",IFERROR(INDEX(Productos!$A$5:$A$104,MATCH(B263,Productos!$B$5:$B$104,0)),""))</f>
        <v/>
      </c>
      <c r="D263" s="7" t="str">
        <f aca="false">IF(B263="","",IFERROR(INDEX(Productos!$D$5:$D$104,MATCH(B263,Productos!$B$5:$B$104,0)),""))</f>
        <v/>
      </c>
      <c r="E263" s="21"/>
      <c r="F263" s="11" t="str">
        <f aca="false">IF(B263="","",IFERROR(INDEX(Productos!$F$5:$F$104,MATCH(B263,Productos!$B$5:$B$104,0)),0))</f>
        <v/>
      </c>
      <c r="G263" s="11" t="str">
        <f aca="false">IF(B263="","",E263*F263)</f>
        <v/>
      </c>
    </row>
    <row r="264" customFormat="false" ht="15" hidden="false" customHeight="false" outlineLevel="0" collapsed="false">
      <c r="A264" s="25"/>
      <c r="B264" s="20"/>
      <c r="C264" s="7" t="str">
        <f aca="false">IF(B264="","",IFERROR(INDEX(Productos!$A$5:$A$104,MATCH(B264,Productos!$B$5:$B$104,0)),""))</f>
        <v/>
      </c>
      <c r="D264" s="7" t="str">
        <f aca="false">IF(B264="","",IFERROR(INDEX(Productos!$D$5:$D$104,MATCH(B264,Productos!$B$5:$B$104,0)),""))</f>
        <v/>
      </c>
      <c r="E264" s="21"/>
      <c r="F264" s="11" t="str">
        <f aca="false">IF(B264="","",IFERROR(INDEX(Productos!$F$5:$F$104,MATCH(B264,Productos!$B$5:$B$104,0)),0))</f>
        <v/>
      </c>
      <c r="G264" s="11" t="str">
        <f aca="false">IF(B264="","",E264*F264)</f>
        <v/>
      </c>
    </row>
    <row r="265" customFormat="false" ht="15" hidden="false" customHeight="false" outlineLevel="0" collapsed="false">
      <c r="A265" s="25"/>
      <c r="B265" s="20"/>
      <c r="C265" s="7" t="str">
        <f aca="false">IF(B265="","",IFERROR(INDEX(Productos!$A$5:$A$104,MATCH(B265,Productos!$B$5:$B$104,0)),""))</f>
        <v/>
      </c>
      <c r="D265" s="7" t="str">
        <f aca="false">IF(B265="","",IFERROR(INDEX(Productos!$D$5:$D$104,MATCH(B265,Productos!$B$5:$B$104,0)),""))</f>
        <v/>
      </c>
      <c r="E265" s="21"/>
      <c r="F265" s="11" t="str">
        <f aca="false">IF(B265="","",IFERROR(INDEX(Productos!$F$5:$F$104,MATCH(B265,Productos!$B$5:$B$104,0)),0))</f>
        <v/>
      </c>
      <c r="G265" s="11" t="str">
        <f aca="false">IF(B265="","",E265*F265)</f>
        <v/>
      </c>
    </row>
    <row r="266" customFormat="false" ht="15" hidden="false" customHeight="false" outlineLevel="0" collapsed="false">
      <c r="A266" s="25"/>
      <c r="B266" s="20"/>
      <c r="C266" s="7" t="str">
        <f aca="false">IF(B266="","",IFERROR(INDEX(Productos!$A$5:$A$104,MATCH(B266,Productos!$B$5:$B$104,0)),""))</f>
        <v/>
      </c>
      <c r="D266" s="7" t="str">
        <f aca="false">IF(B266="","",IFERROR(INDEX(Productos!$D$5:$D$104,MATCH(B266,Productos!$B$5:$B$104,0)),""))</f>
        <v/>
      </c>
      <c r="E266" s="21"/>
      <c r="F266" s="11" t="str">
        <f aca="false">IF(B266="","",IFERROR(INDEX(Productos!$F$5:$F$104,MATCH(B266,Productos!$B$5:$B$104,0)),0))</f>
        <v/>
      </c>
      <c r="G266" s="11" t="str">
        <f aca="false">IF(B266="","",E266*F266)</f>
        <v/>
      </c>
    </row>
    <row r="267" customFormat="false" ht="15" hidden="false" customHeight="false" outlineLevel="0" collapsed="false">
      <c r="A267" s="25"/>
      <c r="B267" s="20"/>
      <c r="C267" s="7" t="str">
        <f aca="false">IF(B267="","",IFERROR(INDEX(Productos!$A$5:$A$104,MATCH(B267,Productos!$B$5:$B$104,0)),""))</f>
        <v/>
      </c>
      <c r="D267" s="7" t="str">
        <f aca="false">IF(B267="","",IFERROR(INDEX(Productos!$D$5:$D$104,MATCH(B267,Productos!$B$5:$B$104,0)),""))</f>
        <v/>
      </c>
      <c r="E267" s="21"/>
      <c r="F267" s="11" t="str">
        <f aca="false">IF(B267="","",IFERROR(INDEX(Productos!$F$5:$F$104,MATCH(B267,Productos!$B$5:$B$104,0)),0))</f>
        <v/>
      </c>
      <c r="G267" s="11" t="str">
        <f aca="false">IF(B267="","",E267*F267)</f>
        <v/>
      </c>
    </row>
    <row r="268" customFormat="false" ht="15" hidden="false" customHeight="false" outlineLevel="0" collapsed="false">
      <c r="A268" s="25"/>
      <c r="B268" s="20"/>
      <c r="C268" s="7" t="str">
        <f aca="false">IF(B268="","",IFERROR(INDEX(Productos!$A$5:$A$104,MATCH(B268,Productos!$B$5:$B$104,0)),""))</f>
        <v/>
      </c>
      <c r="D268" s="7" t="str">
        <f aca="false">IF(B268="","",IFERROR(INDEX(Productos!$D$5:$D$104,MATCH(B268,Productos!$B$5:$B$104,0)),""))</f>
        <v/>
      </c>
      <c r="E268" s="21"/>
      <c r="F268" s="11" t="str">
        <f aca="false">IF(B268="","",IFERROR(INDEX(Productos!$F$5:$F$104,MATCH(B268,Productos!$B$5:$B$104,0)),0))</f>
        <v/>
      </c>
      <c r="G268" s="11" t="str">
        <f aca="false">IF(B268="","",E268*F268)</f>
        <v/>
      </c>
    </row>
    <row r="269" customFormat="false" ht="15" hidden="false" customHeight="false" outlineLevel="0" collapsed="false">
      <c r="A269" s="25"/>
      <c r="B269" s="20"/>
      <c r="C269" s="7" t="str">
        <f aca="false">IF(B269="","",IFERROR(INDEX(Productos!$A$5:$A$104,MATCH(B269,Productos!$B$5:$B$104,0)),""))</f>
        <v/>
      </c>
      <c r="D269" s="7" t="str">
        <f aca="false">IF(B269="","",IFERROR(INDEX(Productos!$D$5:$D$104,MATCH(B269,Productos!$B$5:$B$104,0)),""))</f>
        <v/>
      </c>
      <c r="E269" s="21"/>
      <c r="F269" s="11" t="str">
        <f aca="false">IF(B269="","",IFERROR(INDEX(Productos!$F$5:$F$104,MATCH(B269,Productos!$B$5:$B$104,0)),0))</f>
        <v/>
      </c>
      <c r="G269" s="11" t="str">
        <f aca="false">IF(B269="","",E269*F269)</f>
        <v/>
      </c>
    </row>
    <row r="270" customFormat="false" ht="15" hidden="false" customHeight="false" outlineLevel="0" collapsed="false">
      <c r="A270" s="25"/>
      <c r="B270" s="20"/>
      <c r="C270" s="7" t="str">
        <f aca="false">IF(B270="","",IFERROR(INDEX(Productos!$A$5:$A$104,MATCH(B270,Productos!$B$5:$B$104,0)),""))</f>
        <v/>
      </c>
      <c r="D270" s="7" t="str">
        <f aca="false">IF(B270="","",IFERROR(INDEX(Productos!$D$5:$D$104,MATCH(B270,Productos!$B$5:$B$104,0)),""))</f>
        <v/>
      </c>
      <c r="E270" s="21"/>
      <c r="F270" s="11" t="str">
        <f aca="false">IF(B270="","",IFERROR(INDEX(Productos!$F$5:$F$104,MATCH(B270,Productos!$B$5:$B$104,0)),0))</f>
        <v/>
      </c>
      <c r="G270" s="11" t="str">
        <f aca="false">IF(B270="","",E270*F270)</f>
        <v/>
      </c>
    </row>
    <row r="271" customFormat="false" ht="15" hidden="false" customHeight="false" outlineLevel="0" collapsed="false">
      <c r="A271" s="25"/>
      <c r="B271" s="20"/>
      <c r="C271" s="7" t="str">
        <f aca="false">IF(B271="","",IFERROR(INDEX(Productos!$A$5:$A$104,MATCH(B271,Productos!$B$5:$B$104,0)),""))</f>
        <v/>
      </c>
      <c r="D271" s="7" t="str">
        <f aca="false">IF(B271="","",IFERROR(INDEX(Productos!$D$5:$D$104,MATCH(B271,Productos!$B$5:$B$104,0)),""))</f>
        <v/>
      </c>
      <c r="E271" s="21"/>
      <c r="F271" s="11" t="str">
        <f aca="false">IF(B271="","",IFERROR(INDEX(Productos!$F$5:$F$104,MATCH(B271,Productos!$B$5:$B$104,0)),0))</f>
        <v/>
      </c>
      <c r="G271" s="11" t="str">
        <f aca="false">IF(B271="","",E271*F271)</f>
        <v/>
      </c>
    </row>
    <row r="272" customFormat="false" ht="15" hidden="false" customHeight="false" outlineLevel="0" collapsed="false">
      <c r="A272" s="25"/>
      <c r="B272" s="20"/>
      <c r="C272" s="7" t="str">
        <f aca="false">IF(B272="","",IFERROR(INDEX(Productos!$A$5:$A$104,MATCH(B272,Productos!$B$5:$B$104,0)),""))</f>
        <v/>
      </c>
      <c r="D272" s="7" t="str">
        <f aca="false">IF(B272="","",IFERROR(INDEX(Productos!$D$5:$D$104,MATCH(B272,Productos!$B$5:$B$104,0)),""))</f>
        <v/>
      </c>
      <c r="E272" s="21"/>
      <c r="F272" s="11" t="str">
        <f aca="false">IF(B272="","",IFERROR(INDEX(Productos!$F$5:$F$104,MATCH(B272,Productos!$B$5:$B$104,0)),0))</f>
        <v/>
      </c>
      <c r="G272" s="11" t="str">
        <f aca="false">IF(B272="","",E272*F272)</f>
        <v/>
      </c>
    </row>
    <row r="273" customFormat="false" ht="15" hidden="false" customHeight="false" outlineLevel="0" collapsed="false">
      <c r="A273" s="25"/>
      <c r="B273" s="20"/>
      <c r="C273" s="7" t="str">
        <f aca="false">IF(B273="","",IFERROR(INDEX(Productos!$A$5:$A$104,MATCH(B273,Productos!$B$5:$B$104,0)),""))</f>
        <v/>
      </c>
      <c r="D273" s="7" t="str">
        <f aca="false">IF(B273="","",IFERROR(INDEX(Productos!$D$5:$D$104,MATCH(B273,Productos!$B$5:$B$104,0)),""))</f>
        <v/>
      </c>
      <c r="E273" s="21"/>
      <c r="F273" s="11" t="str">
        <f aca="false">IF(B273="","",IFERROR(INDEX(Productos!$F$5:$F$104,MATCH(B273,Productos!$B$5:$B$104,0)),0))</f>
        <v/>
      </c>
      <c r="G273" s="11" t="str">
        <f aca="false">IF(B273="","",E273*F273)</f>
        <v/>
      </c>
    </row>
    <row r="274" customFormat="false" ht="15" hidden="false" customHeight="false" outlineLevel="0" collapsed="false">
      <c r="A274" s="25"/>
      <c r="B274" s="20"/>
      <c r="C274" s="7" t="str">
        <f aca="false">IF(B274="","",IFERROR(INDEX(Productos!$A$5:$A$104,MATCH(B274,Productos!$B$5:$B$104,0)),""))</f>
        <v/>
      </c>
      <c r="D274" s="7" t="str">
        <f aca="false">IF(B274="","",IFERROR(INDEX(Productos!$D$5:$D$104,MATCH(B274,Productos!$B$5:$B$104,0)),""))</f>
        <v/>
      </c>
      <c r="E274" s="21"/>
      <c r="F274" s="11" t="str">
        <f aca="false">IF(B274="","",IFERROR(INDEX(Productos!$F$5:$F$104,MATCH(B274,Productos!$B$5:$B$104,0)),0))</f>
        <v/>
      </c>
      <c r="G274" s="11" t="str">
        <f aca="false">IF(B274="","",E274*F274)</f>
        <v/>
      </c>
    </row>
    <row r="275" customFormat="false" ht="15" hidden="false" customHeight="false" outlineLevel="0" collapsed="false">
      <c r="A275" s="25"/>
      <c r="B275" s="20"/>
      <c r="C275" s="7" t="str">
        <f aca="false">IF(B275="","",IFERROR(INDEX(Productos!$A$5:$A$104,MATCH(B275,Productos!$B$5:$B$104,0)),""))</f>
        <v/>
      </c>
      <c r="D275" s="7" t="str">
        <f aca="false">IF(B275="","",IFERROR(INDEX(Productos!$D$5:$D$104,MATCH(B275,Productos!$B$5:$B$104,0)),""))</f>
        <v/>
      </c>
      <c r="E275" s="21"/>
      <c r="F275" s="11" t="str">
        <f aca="false">IF(B275="","",IFERROR(INDEX(Productos!$F$5:$F$104,MATCH(B275,Productos!$B$5:$B$104,0)),0))</f>
        <v/>
      </c>
      <c r="G275" s="11" t="str">
        <f aca="false">IF(B275="","",E275*F275)</f>
        <v/>
      </c>
    </row>
    <row r="276" customFormat="false" ht="15" hidden="false" customHeight="false" outlineLevel="0" collapsed="false">
      <c r="A276" s="25"/>
      <c r="B276" s="20"/>
      <c r="C276" s="7" t="str">
        <f aca="false">IF(B276="","",IFERROR(INDEX(Productos!$A$5:$A$104,MATCH(B276,Productos!$B$5:$B$104,0)),""))</f>
        <v/>
      </c>
      <c r="D276" s="7" t="str">
        <f aca="false">IF(B276="","",IFERROR(INDEX(Productos!$D$5:$D$104,MATCH(B276,Productos!$B$5:$B$104,0)),""))</f>
        <v/>
      </c>
      <c r="E276" s="21"/>
      <c r="F276" s="11" t="str">
        <f aca="false">IF(B276="","",IFERROR(INDEX(Productos!$F$5:$F$104,MATCH(B276,Productos!$B$5:$B$104,0)),0))</f>
        <v/>
      </c>
      <c r="G276" s="11" t="str">
        <f aca="false">IF(B276="","",E276*F276)</f>
        <v/>
      </c>
    </row>
    <row r="277" customFormat="false" ht="15" hidden="false" customHeight="false" outlineLevel="0" collapsed="false">
      <c r="A277" s="25"/>
      <c r="B277" s="20"/>
      <c r="C277" s="7" t="str">
        <f aca="false">IF(B277="","",IFERROR(INDEX(Productos!$A$5:$A$104,MATCH(B277,Productos!$B$5:$B$104,0)),""))</f>
        <v/>
      </c>
      <c r="D277" s="7" t="str">
        <f aca="false">IF(B277="","",IFERROR(INDEX(Productos!$D$5:$D$104,MATCH(B277,Productos!$B$5:$B$104,0)),""))</f>
        <v/>
      </c>
      <c r="E277" s="21"/>
      <c r="F277" s="11" t="str">
        <f aca="false">IF(B277="","",IFERROR(INDEX(Productos!$F$5:$F$104,MATCH(B277,Productos!$B$5:$B$104,0)),0))</f>
        <v/>
      </c>
      <c r="G277" s="11" t="str">
        <f aca="false">IF(B277="","",E277*F277)</f>
        <v/>
      </c>
    </row>
    <row r="278" customFormat="false" ht="15" hidden="false" customHeight="false" outlineLevel="0" collapsed="false">
      <c r="A278" s="25"/>
      <c r="B278" s="20"/>
      <c r="C278" s="7" t="str">
        <f aca="false">IF(B278="","",IFERROR(INDEX(Productos!$A$5:$A$104,MATCH(B278,Productos!$B$5:$B$104,0)),""))</f>
        <v/>
      </c>
      <c r="D278" s="7" t="str">
        <f aca="false">IF(B278="","",IFERROR(INDEX(Productos!$D$5:$D$104,MATCH(B278,Productos!$B$5:$B$104,0)),""))</f>
        <v/>
      </c>
      <c r="E278" s="21"/>
      <c r="F278" s="11" t="str">
        <f aca="false">IF(B278="","",IFERROR(INDEX(Productos!$F$5:$F$104,MATCH(B278,Productos!$B$5:$B$104,0)),0))</f>
        <v/>
      </c>
      <c r="G278" s="11" t="str">
        <f aca="false">IF(B278="","",E278*F278)</f>
        <v/>
      </c>
    </row>
    <row r="279" customFormat="false" ht="15" hidden="false" customHeight="false" outlineLevel="0" collapsed="false">
      <c r="A279" s="25"/>
      <c r="B279" s="20"/>
      <c r="C279" s="7" t="str">
        <f aca="false">IF(B279="","",IFERROR(INDEX(Productos!$A$5:$A$104,MATCH(B279,Productos!$B$5:$B$104,0)),""))</f>
        <v/>
      </c>
      <c r="D279" s="7" t="str">
        <f aca="false">IF(B279="","",IFERROR(INDEX(Productos!$D$5:$D$104,MATCH(B279,Productos!$B$5:$B$104,0)),""))</f>
        <v/>
      </c>
      <c r="E279" s="21"/>
      <c r="F279" s="11" t="str">
        <f aca="false">IF(B279="","",IFERROR(INDEX(Productos!$F$5:$F$104,MATCH(B279,Productos!$B$5:$B$104,0)),0))</f>
        <v/>
      </c>
      <c r="G279" s="11" t="str">
        <f aca="false">IF(B279="","",E279*F279)</f>
        <v/>
      </c>
    </row>
    <row r="280" customFormat="false" ht="15" hidden="false" customHeight="false" outlineLevel="0" collapsed="false">
      <c r="A280" s="25"/>
      <c r="B280" s="20"/>
      <c r="C280" s="7" t="str">
        <f aca="false">IF(B280="","",IFERROR(INDEX(Productos!$A$5:$A$104,MATCH(B280,Productos!$B$5:$B$104,0)),""))</f>
        <v/>
      </c>
      <c r="D280" s="7" t="str">
        <f aca="false">IF(B280="","",IFERROR(INDEX(Productos!$D$5:$D$104,MATCH(B280,Productos!$B$5:$B$104,0)),""))</f>
        <v/>
      </c>
      <c r="E280" s="21"/>
      <c r="F280" s="11" t="str">
        <f aca="false">IF(B280="","",IFERROR(INDEX(Productos!$F$5:$F$104,MATCH(B280,Productos!$B$5:$B$104,0)),0))</f>
        <v/>
      </c>
      <c r="G280" s="11" t="str">
        <f aca="false">IF(B280="","",E280*F280)</f>
        <v/>
      </c>
    </row>
    <row r="281" customFormat="false" ht="15" hidden="false" customHeight="false" outlineLevel="0" collapsed="false">
      <c r="A281" s="25"/>
      <c r="B281" s="20"/>
      <c r="C281" s="7" t="str">
        <f aca="false">IF(B281="","",IFERROR(INDEX(Productos!$A$5:$A$104,MATCH(B281,Productos!$B$5:$B$104,0)),""))</f>
        <v/>
      </c>
      <c r="D281" s="7" t="str">
        <f aca="false">IF(B281="","",IFERROR(INDEX(Productos!$D$5:$D$104,MATCH(B281,Productos!$B$5:$B$104,0)),""))</f>
        <v/>
      </c>
      <c r="E281" s="21"/>
      <c r="F281" s="11" t="str">
        <f aca="false">IF(B281="","",IFERROR(INDEX(Productos!$F$5:$F$104,MATCH(B281,Productos!$B$5:$B$104,0)),0))</f>
        <v/>
      </c>
      <c r="G281" s="11" t="str">
        <f aca="false">IF(B281="","",E281*F281)</f>
        <v/>
      </c>
    </row>
    <row r="282" customFormat="false" ht="15" hidden="false" customHeight="false" outlineLevel="0" collapsed="false">
      <c r="A282" s="25"/>
      <c r="B282" s="20"/>
      <c r="C282" s="7" t="str">
        <f aca="false">IF(B282="","",IFERROR(INDEX(Productos!$A$5:$A$104,MATCH(B282,Productos!$B$5:$B$104,0)),""))</f>
        <v/>
      </c>
      <c r="D282" s="7" t="str">
        <f aca="false">IF(B282="","",IFERROR(INDEX(Productos!$D$5:$D$104,MATCH(B282,Productos!$B$5:$B$104,0)),""))</f>
        <v/>
      </c>
      <c r="E282" s="21"/>
      <c r="F282" s="11" t="str">
        <f aca="false">IF(B282="","",IFERROR(INDEX(Productos!$F$5:$F$104,MATCH(B282,Productos!$B$5:$B$104,0)),0))</f>
        <v/>
      </c>
      <c r="G282" s="11" t="str">
        <f aca="false">IF(B282="","",E282*F282)</f>
        <v/>
      </c>
    </row>
    <row r="283" customFormat="false" ht="15" hidden="false" customHeight="false" outlineLevel="0" collapsed="false">
      <c r="A283" s="25"/>
      <c r="B283" s="20"/>
      <c r="C283" s="7" t="str">
        <f aca="false">IF(B283="","",IFERROR(INDEX(Productos!$A$5:$A$104,MATCH(B283,Productos!$B$5:$B$104,0)),""))</f>
        <v/>
      </c>
      <c r="D283" s="7" t="str">
        <f aca="false">IF(B283="","",IFERROR(INDEX(Productos!$D$5:$D$104,MATCH(B283,Productos!$B$5:$B$104,0)),""))</f>
        <v/>
      </c>
      <c r="E283" s="21"/>
      <c r="F283" s="11" t="str">
        <f aca="false">IF(B283="","",IFERROR(INDEX(Productos!$F$5:$F$104,MATCH(B283,Productos!$B$5:$B$104,0)),0))</f>
        <v/>
      </c>
      <c r="G283" s="11" t="str">
        <f aca="false">IF(B283="","",E283*F283)</f>
        <v/>
      </c>
    </row>
    <row r="284" customFormat="false" ht="15" hidden="false" customHeight="false" outlineLevel="0" collapsed="false">
      <c r="A284" s="25"/>
      <c r="B284" s="20"/>
      <c r="C284" s="7" t="str">
        <f aca="false">IF(B284="","",IFERROR(INDEX(Productos!$A$5:$A$104,MATCH(B284,Productos!$B$5:$B$104,0)),""))</f>
        <v/>
      </c>
      <c r="D284" s="7" t="str">
        <f aca="false">IF(B284="","",IFERROR(INDEX(Productos!$D$5:$D$104,MATCH(B284,Productos!$B$5:$B$104,0)),""))</f>
        <v/>
      </c>
      <c r="E284" s="21"/>
      <c r="F284" s="11" t="str">
        <f aca="false">IF(B284="","",IFERROR(INDEX(Productos!$F$5:$F$104,MATCH(B284,Productos!$B$5:$B$104,0)),0))</f>
        <v/>
      </c>
      <c r="G284" s="11" t="str">
        <f aca="false">IF(B284="","",E284*F284)</f>
        <v/>
      </c>
    </row>
    <row r="285" customFormat="false" ht="15" hidden="false" customHeight="false" outlineLevel="0" collapsed="false">
      <c r="A285" s="25"/>
      <c r="B285" s="20"/>
      <c r="C285" s="7" t="str">
        <f aca="false">IF(B285="","",IFERROR(INDEX(Productos!$A$5:$A$104,MATCH(B285,Productos!$B$5:$B$104,0)),""))</f>
        <v/>
      </c>
      <c r="D285" s="7" t="str">
        <f aca="false">IF(B285="","",IFERROR(INDEX(Productos!$D$5:$D$104,MATCH(B285,Productos!$B$5:$B$104,0)),""))</f>
        <v/>
      </c>
      <c r="E285" s="21"/>
      <c r="F285" s="11" t="str">
        <f aca="false">IF(B285="","",IFERROR(INDEX(Productos!$F$5:$F$104,MATCH(B285,Productos!$B$5:$B$104,0)),0))</f>
        <v/>
      </c>
      <c r="G285" s="11" t="str">
        <f aca="false">IF(B285="","",E285*F285)</f>
        <v/>
      </c>
    </row>
    <row r="286" customFormat="false" ht="15" hidden="false" customHeight="false" outlineLevel="0" collapsed="false">
      <c r="A286" s="25"/>
      <c r="B286" s="20"/>
      <c r="C286" s="7" t="str">
        <f aca="false">IF(B286="","",IFERROR(INDEX(Productos!$A$5:$A$104,MATCH(B286,Productos!$B$5:$B$104,0)),""))</f>
        <v/>
      </c>
      <c r="D286" s="7" t="str">
        <f aca="false">IF(B286="","",IFERROR(INDEX(Productos!$D$5:$D$104,MATCH(B286,Productos!$B$5:$B$104,0)),""))</f>
        <v/>
      </c>
      <c r="E286" s="21"/>
      <c r="F286" s="11" t="str">
        <f aca="false">IF(B286="","",IFERROR(INDEX(Productos!$F$5:$F$104,MATCH(B286,Productos!$B$5:$B$104,0)),0))</f>
        <v/>
      </c>
      <c r="G286" s="11" t="str">
        <f aca="false">IF(B286="","",E286*F286)</f>
        <v/>
      </c>
    </row>
    <row r="287" customFormat="false" ht="15" hidden="false" customHeight="false" outlineLevel="0" collapsed="false">
      <c r="A287" s="25"/>
      <c r="B287" s="20"/>
      <c r="C287" s="7" t="str">
        <f aca="false">IF(B287="","",IFERROR(INDEX(Productos!$A$5:$A$104,MATCH(B287,Productos!$B$5:$B$104,0)),""))</f>
        <v/>
      </c>
      <c r="D287" s="7" t="str">
        <f aca="false">IF(B287="","",IFERROR(INDEX(Productos!$D$5:$D$104,MATCH(B287,Productos!$B$5:$B$104,0)),""))</f>
        <v/>
      </c>
      <c r="E287" s="21"/>
      <c r="F287" s="11" t="str">
        <f aca="false">IF(B287="","",IFERROR(INDEX(Productos!$F$5:$F$104,MATCH(B287,Productos!$B$5:$B$104,0)),0))</f>
        <v/>
      </c>
      <c r="G287" s="11" t="str">
        <f aca="false">IF(B287="","",E287*F287)</f>
        <v/>
      </c>
    </row>
    <row r="288" customFormat="false" ht="15" hidden="false" customHeight="false" outlineLevel="0" collapsed="false">
      <c r="A288" s="25"/>
      <c r="B288" s="20"/>
      <c r="C288" s="7" t="str">
        <f aca="false">IF(B288="","",IFERROR(INDEX(Productos!$A$5:$A$104,MATCH(B288,Productos!$B$5:$B$104,0)),""))</f>
        <v/>
      </c>
      <c r="D288" s="7" t="str">
        <f aca="false">IF(B288="","",IFERROR(INDEX(Productos!$D$5:$D$104,MATCH(B288,Productos!$B$5:$B$104,0)),""))</f>
        <v/>
      </c>
      <c r="E288" s="21"/>
      <c r="F288" s="11" t="str">
        <f aca="false">IF(B288="","",IFERROR(INDEX(Productos!$F$5:$F$104,MATCH(B288,Productos!$B$5:$B$104,0)),0))</f>
        <v/>
      </c>
      <c r="G288" s="11" t="str">
        <f aca="false">IF(B288="","",E288*F288)</f>
        <v/>
      </c>
    </row>
    <row r="289" customFormat="false" ht="15" hidden="false" customHeight="false" outlineLevel="0" collapsed="false">
      <c r="A289" s="25"/>
      <c r="B289" s="20"/>
      <c r="C289" s="7" t="str">
        <f aca="false">IF(B289="","",IFERROR(INDEX(Productos!$A$5:$A$104,MATCH(B289,Productos!$B$5:$B$104,0)),""))</f>
        <v/>
      </c>
      <c r="D289" s="7" t="str">
        <f aca="false">IF(B289="","",IFERROR(INDEX(Productos!$D$5:$D$104,MATCH(B289,Productos!$B$5:$B$104,0)),""))</f>
        <v/>
      </c>
      <c r="E289" s="21"/>
      <c r="F289" s="11" t="str">
        <f aca="false">IF(B289="","",IFERROR(INDEX(Productos!$F$5:$F$104,MATCH(B289,Productos!$B$5:$B$104,0)),0))</f>
        <v/>
      </c>
      <c r="G289" s="11" t="str">
        <f aca="false">IF(B289="","",E289*F289)</f>
        <v/>
      </c>
    </row>
    <row r="290" customFormat="false" ht="15" hidden="false" customHeight="false" outlineLevel="0" collapsed="false">
      <c r="A290" s="25"/>
      <c r="B290" s="20"/>
      <c r="C290" s="7" t="str">
        <f aca="false">IF(B290="","",IFERROR(INDEX(Productos!$A$5:$A$104,MATCH(B290,Productos!$B$5:$B$104,0)),""))</f>
        <v/>
      </c>
      <c r="D290" s="7" t="str">
        <f aca="false">IF(B290="","",IFERROR(INDEX(Productos!$D$5:$D$104,MATCH(B290,Productos!$B$5:$B$104,0)),""))</f>
        <v/>
      </c>
      <c r="E290" s="21"/>
      <c r="F290" s="11" t="str">
        <f aca="false">IF(B290="","",IFERROR(INDEX(Productos!$F$5:$F$104,MATCH(B290,Productos!$B$5:$B$104,0)),0))</f>
        <v/>
      </c>
      <c r="G290" s="11" t="str">
        <f aca="false">IF(B290="","",E290*F290)</f>
        <v/>
      </c>
    </row>
    <row r="291" customFormat="false" ht="15" hidden="false" customHeight="false" outlineLevel="0" collapsed="false">
      <c r="A291" s="25"/>
      <c r="B291" s="20"/>
      <c r="C291" s="7" t="str">
        <f aca="false">IF(B291="","",IFERROR(INDEX(Productos!$A$5:$A$104,MATCH(B291,Productos!$B$5:$B$104,0)),""))</f>
        <v/>
      </c>
      <c r="D291" s="7" t="str">
        <f aca="false">IF(B291="","",IFERROR(INDEX(Productos!$D$5:$D$104,MATCH(B291,Productos!$B$5:$B$104,0)),""))</f>
        <v/>
      </c>
      <c r="E291" s="21"/>
      <c r="F291" s="11" t="str">
        <f aca="false">IF(B291="","",IFERROR(INDEX(Productos!$F$5:$F$104,MATCH(B291,Productos!$B$5:$B$104,0)),0))</f>
        <v/>
      </c>
      <c r="G291" s="11" t="str">
        <f aca="false">IF(B291="","",E291*F291)</f>
        <v/>
      </c>
    </row>
    <row r="292" customFormat="false" ht="15" hidden="false" customHeight="false" outlineLevel="0" collapsed="false">
      <c r="A292" s="25"/>
      <c r="B292" s="20"/>
      <c r="C292" s="7" t="str">
        <f aca="false">IF(B292="","",IFERROR(INDEX(Productos!$A$5:$A$104,MATCH(B292,Productos!$B$5:$B$104,0)),""))</f>
        <v/>
      </c>
      <c r="D292" s="7" t="str">
        <f aca="false">IF(B292="","",IFERROR(INDEX(Productos!$D$5:$D$104,MATCH(B292,Productos!$B$5:$B$104,0)),""))</f>
        <v/>
      </c>
      <c r="E292" s="21"/>
      <c r="F292" s="11" t="str">
        <f aca="false">IF(B292="","",IFERROR(INDEX(Productos!$F$5:$F$104,MATCH(B292,Productos!$B$5:$B$104,0)),0))</f>
        <v/>
      </c>
      <c r="G292" s="11" t="str">
        <f aca="false">IF(B292="","",E292*F292)</f>
        <v/>
      </c>
    </row>
    <row r="293" customFormat="false" ht="15" hidden="false" customHeight="false" outlineLevel="0" collapsed="false">
      <c r="A293" s="25"/>
      <c r="B293" s="20"/>
      <c r="C293" s="7" t="str">
        <f aca="false">IF(B293="","",IFERROR(INDEX(Productos!$A$5:$A$104,MATCH(B293,Productos!$B$5:$B$104,0)),""))</f>
        <v/>
      </c>
      <c r="D293" s="7" t="str">
        <f aca="false">IF(B293="","",IFERROR(INDEX(Productos!$D$5:$D$104,MATCH(B293,Productos!$B$5:$B$104,0)),""))</f>
        <v/>
      </c>
      <c r="E293" s="21"/>
      <c r="F293" s="11" t="str">
        <f aca="false">IF(B293="","",IFERROR(INDEX(Productos!$F$5:$F$104,MATCH(B293,Productos!$B$5:$B$104,0)),0))</f>
        <v/>
      </c>
      <c r="G293" s="11" t="str">
        <f aca="false">IF(B293="","",E293*F293)</f>
        <v/>
      </c>
    </row>
    <row r="294" customFormat="false" ht="15" hidden="false" customHeight="false" outlineLevel="0" collapsed="false">
      <c r="A294" s="25"/>
      <c r="B294" s="20"/>
      <c r="C294" s="7" t="str">
        <f aca="false">IF(B294="","",IFERROR(INDEX(Productos!$A$5:$A$104,MATCH(B294,Productos!$B$5:$B$104,0)),""))</f>
        <v/>
      </c>
      <c r="D294" s="7" t="str">
        <f aca="false">IF(B294="","",IFERROR(INDEX(Productos!$D$5:$D$104,MATCH(B294,Productos!$B$5:$B$104,0)),""))</f>
        <v/>
      </c>
      <c r="E294" s="21"/>
      <c r="F294" s="11" t="str">
        <f aca="false">IF(B294="","",IFERROR(INDEX(Productos!$F$5:$F$104,MATCH(B294,Productos!$B$5:$B$104,0)),0))</f>
        <v/>
      </c>
      <c r="G294" s="11" t="str">
        <f aca="false">IF(B294="","",E294*F294)</f>
        <v/>
      </c>
    </row>
    <row r="295" customFormat="false" ht="15" hidden="false" customHeight="false" outlineLevel="0" collapsed="false">
      <c r="A295" s="25"/>
      <c r="B295" s="20"/>
      <c r="C295" s="7" t="str">
        <f aca="false">IF(B295="","",IFERROR(INDEX(Productos!$A$5:$A$104,MATCH(B295,Productos!$B$5:$B$104,0)),""))</f>
        <v/>
      </c>
      <c r="D295" s="7" t="str">
        <f aca="false">IF(B295="","",IFERROR(INDEX(Productos!$D$5:$D$104,MATCH(B295,Productos!$B$5:$B$104,0)),""))</f>
        <v/>
      </c>
      <c r="E295" s="21"/>
      <c r="F295" s="11" t="str">
        <f aca="false">IF(B295="","",IFERROR(INDEX(Productos!$F$5:$F$104,MATCH(B295,Productos!$B$5:$B$104,0)),0))</f>
        <v/>
      </c>
      <c r="G295" s="11" t="str">
        <f aca="false">IF(B295="","",E295*F295)</f>
        <v/>
      </c>
    </row>
    <row r="296" customFormat="false" ht="15" hidden="false" customHeight="false" outlineLevel="0" collapsed="false">
      <c r="A296" s="25"/>
      <c r="B296" s="20"/>
      <c r="C296" s="7" t="str">
        <f aca="false">IF(B296="","",IFERROR(INDEX(Productos!$A$5:$A$104,MATCH(B296,Productos!$B$5:$B$104,0)),""))</f>
        <v/>
      </c>
      <c r="D296" s="7" t="str">
        <f aca="false">IF(B296="","",IFERROR(INDEX(Productos!$D$5:$D$104,MATCH(B296,Productos!$B$5:$B$104,0)),""))</f>
        <v/>
      </c>
      <c r="E296" s="21"/>
      <c r="F296" s="11" t="str">
        <f aca="false">IF(B296="","",IFERROR(INDEX(Productos!$F$5:$F$104,MATCH(B296,Productos!$B$5:$B$104,0)),0))</f>
        <v/>
      </c>
      <c r="G296" s="11" t="str">
        <f aca="false">IF(B296="","",E296*F296)</f>
        <v/>
      </c>
    </row>
    <row r="297" customFormat="false" ht="15" hidden="false" customHeight="false" outlineLevel="0" collapsed="false">
      <c r="A297" s="25"/>
      <c r="B297" s="20"/>
      <c r="C297" s="7" t="str">
        <f aca="false">IF(B297="","",IFERROR(INDEX(Productos!$A$5:$A$104,MATCH(B297,Productos!$B$5:$B$104,0)),""))</f>
        <v/>
      </c>
      <c r="D297" s="7" t="str">
        <f aca="false">IF(B297="","",IFERROR(INDEX(Productos!$D$5:$D$104,MATCH(B297,Productos!$B$5:$B$104,0)),""))</f>
        <v/>
      </c>
      <c r="E297" s="21"/>
      <c r="F297" s="11" t="str">
        <f aca="false">IF(B297="","",IFERROR(INDEX(Productos!$F$5:$F$104,MATCH(B297,Productos!$B$5:$B$104,0)),0))</f>
        <v/>
      </c>
      <c r="G297" s="11" t="str">
        <f aca="false">IF(B297="","",E297*F297)</f>
        <v/>
      </c>
    </row>
    <row r="298" customFormat="false" ht="15" hidden="false" customHeight="false" outlineLevel="0" collapsed="false">
      <c r="A298" s="25"/>
      <c r="B298" s="20"/>
      <c r="C298" s="7" t="str">
        <f aca="false">IF(B298="","",IFERROR(INDEX(Productos!$A$5:$A$104,MATCH(B298,Productos!$B$5:$B$104,0)),""))</f>
        <v/>
      </c>
      <c r="D298" s="7" t="str">
        <f aca="false">IF(B298="","",IFERROR(INDEX(Productos!$D$5:$D$104,MATCH(B298,Productos!$B$5:$B$104,0)),""))</f>
        <v/>
      </c>
      <c r="E298" s="21"/>
      <c r="F298" s="11" t="str">
        <f aca="false">IF(B298="","",IFERROR(INDEX(Productos!$F$5:$F$104,MATCH(B298,Productos!$B$5:$B$104,0)),0))</f>
        <v/>
      </c>
      <c r="G298" s="11" t="str">
        <f aca="false">IF(B298="","",E298*F298)</f>
        <v/>
      </c>
    </row>
    <row r="299" customFormat="false" ht="15" hidden="false" customHeight="false" outlineLevel="0" collapsed="false">
      <c r="A299" s="25"/>
      <c r="B299" s="20"/>
      <c r="C299" s="7" t="str">
        <f aca="false">IF(B299="","",IFERROR(INDEX(Productos!$A$5:$A$104,MATCH(B299,Productos!$B$5:$B$104,0)),""))</f>
        <v/>
      </c>
      <c r="D299" s="7" t="str">
        <f aca="false">IF(B299="","",IFERROR(INDEX(Productos!$D$5:$D$104,MATCH(B299,Productos!$B$5:$B$104,0)),""))</f>
        <v/>
      </c>
      <c r="E299" s="21"/>
      <c r="F299" s="11" t="str">
        <f aca="false">IF(B299="","",IFERROR(INDEX(Productos!$F$5:$F$104,MATCH(B299,Productos!$B$5:$B$104,0)),0))</f>
        <v/>
      </c>
      <c r="G299" s="11" t="str">
        <f aca="false">IF(B299="","",E299*F299)</f>
        <v/>
      </c>
    </row>
    <row r="300" customFormat="false" ht="15" hidden="false" customHeight="false" outlineLevel="0" collapsed="false">
      <c r="A300" s="25"/>
      <c r="B300" s="20"/>
      <c r="C300" s="7" t="str">
        <f aca="false">IF(B300="","",IFERROR(INDEX(Productos!$A$5:$A$104,MATCH(B300,Productos!$B$5:$B$104,0)),""))</f>
        <v/>
      </c>
      <c r="D300" s="7" t="str">
        <f aca="false">IF(B300="","",IFERROR(INDEX(Productos!$D$5:$D$104,MATCH(B300,Productos!$B$5:$B$104,0)),""))</f>
        <v/>
      </c>
      <c r="E300" s="21"/>
      <c r="F300" s="11" t="str">
        <f aca="false">IF(B300="","",IFERROR(INDEX(Productos!$F$5:$F$104,MATCH(B300,Productos!$B$5:$B$104,0)),0))</f>
        <v/>
      </c>
      <c r="G300" s="11" t="str">
        <f aca="false">IF(B300="","",E300*F300)</f>
        <v/>
      </c>
    </row>
    <row r="301" customFormat="false" ht="15" hidden="false" customHeight="false" outlineLevel="0" collapsed="false">
      <c r="A301" s="25"/>
      <c r="B301" s="20"/>
      <c r="C301" s="7" t="str">
        <f aca="false">IF(B301="","",IFERROR(INDEX(Productos!$A$5:$A$104,MATCH(B301,Productos!$B$5:$B$104,0)),""))</f>
        <v/>
      </c>
      <c r="D301" s="7" t="str">
        <f aca="false">IF(B301="","",IFERROR(INDEX(Productos!$D$5:$D$104,MATCH(B301,Productos!$B$5:$B$104,0)),""))</f>
        <v/>
      </c>
      <c r="E301" s="21"/>
      <c r="F301" s="11" t="str">
        <f aca="false">IF(B301="","",IFERROR(INDEX(Productos!$F$5:$F$104,MATCH(B301,Productos!$B$5:$B$104,0)),0))</f>
        <v/>
      </c>
      <c r="G301" s="11" t="str">
        <f aca="false">IF(B301="","",E301*F301)</f>
        <v/>
      </c>
    </row>
    <row r="302" customFormat="false" ht="15" hidden="false" customHeight="false" outlineLevel="0" collapsed="false">
      <c r="A302" s="25"/>
      <c r="B302" s="20"/>
      <c r="C302" s="7" t="str">
        <f aca="false">IF(B302="","",IFERROR(INDEX(Productos!$A$5:$A$104,MATCH(B302,Productos!$B$5:$B$104,0)),""))</f>
        <v/>
      </c>
      <c r="D302" s="7" t="str">
        <f aca="false">IF(B302="","",IFERROR(INDEX(Productos!$D$5:$D$104,MATCH(B302,Productos!$B$5:$B$104,0)),""))</f>
        <v/>
      </c>
      <c r="E302" s="21"/>
      <c r="F302" s="11" t="str">
        <f aca="false">IF(B302="","",IFERROR(INDEX(Productos!$F$5:$F$104,MATCH(B302,Productos!$B$5:$B$104,0)),0))</f>
        <v/>
      </c>
      <c r="G302" s="11" t="str">
        <f aca="false">IF(B302="","",E302*F302)</f>
        <v/>
      </c>
    </row>
    <row r="303" customFormat="false" ht="15" hidden="false" customHeight="false" outlineLevel="0" collapsed="false">
      <c r="A303" s="25"/>
      <c r="B303" s="20"/>
      <c r="C303" s="7" t="str">
        <f aca="false">IF(B303="","",IFERROR(INDEX(Productos!$A$5:$A$104,MATCH(B303,Productos!$B$5:$B$104,0)),""))</f>
        <v/>
      </c>
      <c r="D303" s="7" t="str">
        <f aca="false">IF(B303="","",IFERROR(INDEX(Productos!$D$5:$D$104,MATCH(B303,Productos!$B$5:$B$104,0)),""))</f>
        <v/>
      </c>
      <c r="E303" s="21"/>
      <c r="F303" s="11" t="str">
        <f aca="false">IF(B303="","",IFERROR(INDEX(Productos!$F$5:$F$104,MATCH(B303,Productos!$B$5:$B$104,0)),0))</f>
        <v/>
      </c>
      <c r="G303" s="11" t="str">
        <f aca="false">IF(B303="","",E303*F303)</f>
        <v/>
      </c>
    </row>
    <row r="304" customFormat="false" ht="15" hidden="false" customHeight="false" outlineLevel="0" collapsed="false">
      <c r="A304" s="25"/>
      <c r="B304" s="20"/>
      <c r="C304" s="7" t="str">
        <f aca="false">IF(B304="","",IFERROR(INDEX(Productos!$A$5:$A$104,MATCH(B304,Productos!$B$5:$B$104,0)),""))</f>
        <v/>
      </c>
      <c r="D304" s="7" t="str">
        <f aca="false">IF(B304="","",IFERROR(INDEX(Productos!$D$5:$D$104,MATCH(B304,Productos!$B$5:$B$104,0)),""))</f>
        <v/>
      </c>
      <c r="E304" s="21"/>
      <c r="F304" s="11" t="str">
        <f aca="false">IF(B304="","",IFERROR(INDEX(Productos!$F$5:$F$104,MATCH(B304,Productos!$B$5:$B$104,0)),0))</f>
        <v/>
      </c>
      <c r="G304" s="11" t="str">
        <f aca="false">IF(B304="","",E304*F304)</f>
        <v/>
      </c>
    </row>
  </sheetData>
  <dataValidations count="1">
    <dataValidation allowBlank="true" errorStyle="stop" operator="between" showDropDown="false" showErrorMessage="false" showInputMessage="false" sqref="B5:B304" type="list">
      <formula1>Productos!$B$5:$B$104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4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5" t="s">
        <v>129</v>
      </c>
    </row>
    <row r="3" customFormat="false" ht="15" hidden="false" customHeight="false" outlineLevel="0" collapsed="false">
      <c r="A3" s="27" t="s">
        <v>130</v>
      </c>
      <c r="B3" s="28" t="s">
        <v>131</v>
      </c>
      <c r="D3" s="29" t="s">
        <v>132</v>
      </c>
      <c r="F3" s="29" t="s">
        <v>133</v>
      </c>
    </row>
    <row r="4" customFormat="false" ht="15" hidden="false" customHeight="false" outlineLevel="0" collapsed="false">
      <c r="A4" s="27" t="s">
        <v>134</v>
      </c>
      <c r="B4" s="28" t="n">
        <v>2026</v>
      </c>
      <c r="D4" s="20" t="s">
        <v>66</v>
      </c>
      <c r="F4" s="20" t="s">
        <v>120</v>
      </c>
    </row>
    <row r="5" customFormat="false" ht="15" hidden="false" customHeight="false" outlineLevel="0" collapsed="false">
      <c r="D5" s="20" t="s">
        <v>72</v>
      </c>
      <c r="F5" s="20" t="s">
        <v>121</v>
      </c>
    </row>
    <row r="6" customFormat="false" ht="15" hidden="false" customHeight="false" outlineLevel="0" collapsed="false">
      <c r="D6" s="20" t="s">
        <v>78</v>
      </c>
    </row>
    <row r="7" customFormat="false" ht="15" hidden="false" customHeight="false" outlineLevel="0" collapsed="false">
      <c r="D7" s="20" t="s">
        <v>84</v>
      </c>
    </row>
    <row r="8" customFormat="false" ht="15" hidden="false" customHeight="false" outlineLevel="0" collapsed="false">
      <c r="D8" s="20" t="s">
        <v>90</v>
      </c>
    </row>
    <row r="9" customFormat="false" ht="15" hidden="false" customHeight="false" outlineLevel="0" collapsed="false">
      <c r="D9" s="20" t="s">
        <v>96</v>
      </c>
    </row>
    <row r="10" customFormat="false" ht="15" hidden="false" customHeight="false" outlineLevel="0" collapsed="false">
      <c r="D10" s="20" t="s">
        <v>135</v>
      </c>
    </row>
    <row r="11" customFormat="false" ht="15" hidden="false" customHeight="false" outlineLevel="0" collapsed="false">
      <c r="D11" s="2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2026-10-22T16:18:54Z</dcterms:created>
  <dc:creator>openpyxl</dc:creator>
  <dc:description/>
  <dc:language>en-US</dc:language>
  <cp:lastModifiedBy/>
  <dcterms:modified xsi:type="dcterms:W3CDTF">2026-10-22T16:18:58Z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